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47e750563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c107776c854b67"/>
    <x:sheet xmlns:r="http://schemas.openxmlformats.org/officeDocument/2006/relationships" name="Invoice Detail" sheetId="2" r:id="Refe7bd07fb6c4029"/>
    <x:sheet xmlns:r="http://schemas.openxmlformats.org/officeDocument/2006/relationships" name="StopSummary" sheetId="3" r:id="R3e842be4b5644c3f"/>
    <x:sheet xmlns:r="http://schemas.openxmlformats.org/officeDocument/2006/relationships" name="Exceptions" sheetId="4" r:id="R615c31cf90b64f6b"/>
    <x:sheet xmlns:r="http://schemas.openxmlformats.org/officeDocument/2006/relationships" name="PostDated Register" sheetId="5" r:id="R308cd7ca26ff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&quot;€&quot;#,##0.00"/>
  </x:numFmts>
  <x:fonts count="5">
    <x:font>
      <x:sz val="11"/>
      <x:color theme="1"/>
      <x:name val="Calibri"/>
      <x:family val="2"/>
      <x:scheme val="minor"/>
    </x:font>
    <x:font>
      <x:b/>
      <x:sz val="16"/>
    </x:font>
    <x:font>
      <x:b/>
    </x:font>
    <x:font>
      <x:color rgb="000000FF"/>
    </x:font>
    <x:font>
      <x:b/>
      <x:color rgb="00FFFFFF"/>
    </x:font>
  </x:fonts>
  <x:fills count="9">
    <x:fill>
      <x:patternFill patternType="none"/>
    </x:fill>
    <x:fill>
      <x:patternFill patternType="gray125"/>
    </x:fill>
    <x:fill>
      <x:patternFill patternType="solid">
        <x:fgColor rgb="00E7F3FF"/>
      </x:patternFill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FFFFFF"/>
      </x:patternFill>
    </x:fill>
    <x:fill>
      <x:patternFill patternType="solid">
        <x:fgColor rgb="00F2F2F2"/>
      </x:patternFill>
    </x:fill>
    <x:fill>
      <x:patternFill patternType="solid">
        <x:fgColor rgb="00C6E0B4"/>
      </x:patternFill>
    </x:fill>
    <x:fill>
      <x:patternFill patternType="solid">
        <x:fgColor rgb="00FFF2CC"/>
      </x:patternFill>
    </x:fill>
  </x:fills>
  <x:borders count="6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FBFBF"/>
      </x:top>
      <x:bottom/>
      <x:diagonal/>
    </x:border>
    <x:border>
      <x:left/>
      <x:right style="thin">
        <x:color rgb="00BFBFBF"/>
      </x:right>
      <x:top style="thin">
        <x:color rgb="00BFBFBF"/>
      </x:top>
      <x:bottom/>
      <x:diagonal/>
    </x:border>
    <x:border>
      <x:left/>
      <x:right/>
      <x:top style="thin">
        <x:color rgb="00BFBFBF"/>
      </x:top>
      <x:bottom style="thin">
        <x:color rgb="00BFBFBF"/>
      </x:bottom>
      <x:diagonal/>
    </x:border>
    <x:border>
      <x:left/>
      <x:right style="thin">
        <x:color rgb="00BFBFBF"/>
      </x:right>
      <x:top style="thin">
        <x:color rgb="00BFBFBF"/>
      </x:top>
      <x:bottom style="thin">
        <x:color rgb="00BFBFBF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Alignment="1">
      <x:alignment vertical="center"/>
    </x:xf>
    <x:xf numFmtId="0" fontId="2" fillId="0" borderId="0" xfId="0" applyAlignment="1">
      <x:alignment horizontal="right"/>
    </x:xf>
    <x:xf numFmtId="0" fontId="3" fillId="2" borderId="1" xfId="0"/>
    <x:xf numFmtId="0" fontId="0" fillId="0" borderId="4" xfId="0"/>
    <x:xf numFmtId="0" fontId="0" fillId="0" borderId="5" xfId="0"/>
    <x:xf numFmtId="0" fontId="4" fillId="3" borderId="0" xfId="0" applyAlignment="1">
      <x:alignment horizontal="left" vertical="center"/>
    </x:xf>
    <x:xf numFmtId="0" fontId="2" fillId="4" borderId="1" xfId="0"/>
    <x:xf numFmtId="1" fontId="0" fillId="5" borderId="1" xfId="0"/>
    <x:xf numFmtId="0" fontId="2" fillId="4" borderId="1" xfId="0" applyAlignment="1">
      <x:alignment horizontal="center" vertical="center" wrapText="1"/>
    </x:xf>
    <x:xf numFmtId="0" fontId="2" fillId="6" borderId="1" xfId="0"/>
    <x:xf numFmtId="164" fontId="0" fillId="0" borderId="1" xfId="0" applyAlignment="1">
      <x:alignment horizontal="right" vertical="center"/>
    </x:xf>
    <x:xf numFmtId="164" fontId="3" fillId="2" borderId="1" xfId="0" applyAlignment="1">
      <x:alignment horizontal="right" vertical="center"/>
    </x:xf>
    <x:xf numFmtId="1" fontId="0" fillId="0" borderId="1" xfId="0" applyAlignment="1">
      <x:alignment horizontal="center" vertical="center"/>
    </x:xf>
    <x:xf numFmtId="0" fontId="0" fillId="5" borderId="1" xfId="0" applyAlignment="1">
      <x:alignment horizontal="right" vertical="center"/>
    </x:xf>
    <x:xf numFmtId="0" fontId="2" fillId="7" borderId="1" xfId="0"/>
    <x:xf numFmtId="0" fontId="0" fillId="0" borderId="1" xfId="0" applyAlignment="1">
      <x:alignment horizontal="right" vertical="center"/>
    </x:xf>
    <x:xf numFmtId="1" fontId="0" fillId="0" borderId="1" xfId="0" applyAlignment="1">
      <x:alignment horizontal="right"/>
    </x:xf>
    <x:xf numFmtId="0" fontId="2" fillId="0" borderId="1" xfId="0" applyAlignment="1">
      <x:alignment vertical="center"/>
    </x:xf>
    <x:xf numFmtId="0" fontId="0" fillId="0" borderId="1" xfId="0" applyAlignment="1">
      <x:alignment vertical="center"/>
    </x:xf>
    <x:xf numFmtId="0" fontId="3" fillId="2" borderId="1" xfId="0" applyAlignment="1">
      <x:alignment vertical="center"/>
    </x:xf>
    <x:xf numFmtId="0" fontId="4" fillId="3" borderId="1" xfId="0" applyAlignment="1">
      <x:alignment horizontal="center" vertical="center" wrapText="1"/>
    </x:xf>
    <x:xf numFmtId="0" fontId="3" fillId="2" borderId="1" xfId="0" applyAlignment="1">
      <x:alignment vertical="center" wrapText="1"/>
    </x:xf>
    <x:xf numFmtId="164" fontId="3" fillId="2" borderId="1" xfId="0" applyAlignment="1">
      <x:alignment vertical="center" wrapText="1"/>
    </x:xf>
    <x:xf numFmtId="164" fontId="0" fillId="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1" fontId="0" fillId="0" borderId="1" xfId="0" applyAlignment="1">
      <x:alignment vertical="center" wrapText="1"/>
    </x:xf>
    <x:xf numFmtId="0" fontId="2" fillId="8" borderId="1" xfId="0" applyAlignment="1">
      <x:alignment wrapText="1"/>
    </x:xf>
    <x:xf numFmtId="0" fontId="0" fillId="5" borderId="1" xfId="0" applyAlignment="1">
      <x:alignment wrapText="1"/>
    </x:xf>
    <x:xf numFmtId="0" fontId="2" fillId="4" borderId="1" xfId="0" applyAlignment="1">
      <x:alignment horizont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62ce8d736437b" /><Relationship Type="http://schemas.openxmlformats.org/officeDocument/2006/relationships/theme" Target="/xl/theme/theme1.xml" Id="R5e6fa93547424440" /><Relationship Type="http://schemas.openxmlformats.org/officeDocument/2006/relationships/sharedStrings" Target="/xl/sharedStrings.xml" Id="R1000d2c56bac4be9" /><Relationship Type="http://schemas.openxmlformats.org/officeDocument/2006/relationships/worksheet" Target="/xl/worksheets/sheet1.xml" Id="Rdac107776c854b67" /><Relationship Type="http://schemas.openxmlformats.org/officeDocument/2006/relationships/worksheet" Target="/xl/worksheets/sheet2.xml" Id="Refe7bd07fb6c4029" /><Relationship Type="http://schemas.openxmlformats.org/officeDocument/2006/relationships/worksheet" Target="/xl/worksheets/sheet3.xml" Id="R3e842be4b5644c3f" /><Relationship Type="http://schemas.openxmlformats.org/officeDocument/2006/relationships/worksheet" Target="/xl/worksheets/sheet4.xml" Id="R615c31cf90b64f6b" /><Relationship Type="http://schemas.openxmlformats.org/officeDocument/2006/relationships/worksheet" Target="/xl/worksheets/sheet5.xml" Id="R308cd7ca26ff4e6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18" customWidth="1"/>
    <x:col min="3" max="3" width="18" customWidth="1"/>
    <x:col min="4" max="4" width="20" customWidth="1"/>
    <x:col min="5" max="5" width="14" customWidth="1"/>
    <x:col min="6" max="6" width="22" customWidth="1"/>
    <x:col min="7" max="7" width="18" customWidth="1"/>
    <x:col min="8" max="8" width="22" customWidth="1"/>
  </x:cols>
  <x:sheetData>
    <x:row r="1" ht="28" customHeight="1">
      <x:c r="A1" s="1" t="inlineStr">
        <x:is>
          <x:t xml:space="preserve">Route Reconciliation Summary (Template)</x:t>
        </x:is>
      </x:c>
    </x:row>
    <x:row r="3">
      <x:c r="A3" s="2" t="inlineStr">
        <x:is>
          <x:t xml:space="preserve">Route ID</x:t>
        </x:is>
      </x:c>
      <x:c r="B3" s="3" t="inlineStr">
        <x:is>
          <x:t xml:space="preserve"/>
        </x:is>
      </x:c>
    </x:row>
    <x:row r="4">
      <x:c r="A4" s="2" t="inlineStr">
        <x:is>
          <x:t xml:space="preserve">Delivery Date</x:t>
        </x:is>
      </x:c>
      <x:c r="B4" s="3" t="inlineStr">
        <x:is>
          <x:t xml:space="preserve"/>
        </x:is>
      </x:c>
    </x:row>
    <x:row r="5">
      <x:c r="A5" s="2" t="inlineStr">
        <x:is>
          <x:t xml:space="preserve">Driver</x:t>
        </x:is>
      </x:c>
      <x:c r="B5" s="3" t="inlineStr">
        <x:is>
          <x:t xml:space="preserve"/>
        </x:is>
      </x:c>
    </x:row>
    <x:row r="6">
      <x:c r="A6" s="2" t="inlineStr">
        <x:is>
          <x:t xml:space="preserve">Vehicle</x:t>
        </x:is>
      </x:c>
      <x:c r="B6" s="3" t="inlineStr">
        <x:is>
          <x:t xml:space="preserve"/>
        </x:is>
      </x:c>
    </x:row>
    <x:row r="7">
      <x:c r="A7" s="2" t="inlineStr">
        <x:is>
          <x:t xml:space="preserve">Reconciliation Status</x:t>
        </x:is>
      </x:c>
      <x:c r="B7" s="3" t="inlineStr">
        <x:is>
          <x:t xml:space="preserve"/>
        </x:is>
      </x:c>
    </x:row>
    <x:row r="8">
      <x:c r="A8" s="2" t="inlineStr">
        <x:is>
          <x:t xml:space="preserve">Settlement Status</x:t>
        </x:is>
      </x:c>
      <x:c r="B8" s="3" t="inlineStr">
        <x:is>
          <x:t xml:space="preserve"/>
        </x:is>
      </x:c>
    </x:row>
    <x:row r="9">
      <x:c r="A9" s="2" t="inlineStr">
        <x:is>
          <x:t xml:space="preserve">Notes</x:t>
        </x:is>
      </x:c>
      <x:c r="B9" s="3" t="inlineStr">
        <x:is>
          <x:t xml:space="preserve"/>
        </x:is>
      </x:c>
      <x:c r="C9" s="4" t="n"/>
      <x:c r="D9" s="4" t="n"/>
      <x:c r="E9" s="4" t="n"/>
      <x:c r="F9" s="4" t="n"/>
      <x:c r="G9" s="4" t="n"/>
      <x:c r="H9" s="5" t="n"/>
    </x:row>
    <x:row r="11" ht="20" customHeight="1">
      <x:c r="A11" s="6" t="inlineStr">
        <x:is>
          <x:t xml:space="preserve">Operational Counts</x:t>
        </x:is>
      </x:c>
    </x:row>
    <x:row r="12">
      <x:c r="A12" s="7" t="inlineStr">
        <x:is>
          <x:t xml:space="preserve">Stops planned</x:t>
        </x:is>
      </x:c>
      <x:c r="B12" s="8">
        <x:f>COUNTIF(StopSummary!A4:A103,"&lt;&gt;")</x:f>
        <x:v>0</x:v>
      </x:c>
    </x:row>
    <x:row r="13">
      <x:c r="A13" s="7" t="inlineStr">
        <x:is>
          <x:t xml:space="preserve">Stops completed</x:t>
        </x:is>
      </x:c>
      <x:c r="B13" s="8">
        <x:f>COUNTIF(StopSummary!F4:F103,"COMPLETED")</x:f>
        <x:v>0</x:v>
      </x:c>
    </x:row>
    <x:row r="14">
      <x:c r="A14" s="7" t="inlineStr">
        <x:is>
          <x:t xml:space="preserve">Invoices planned</x:t>
        </x:is>
      </x:c>
      <x:c r="B14" s="8">
        <x:f>COUNTIF('Invoice Detail'!$D$4:$D$503,"&lt;&gt;")</x:f>
        <x:v>0</x:v>
      </x:c>
    </x:row>
    <x:row r="15">
      <x:c r="A15" s="7" t="inlineStr">
        <x:is>
          <x:t xml:space="preserve">Delivered</x:t>
        </x:is>
      </x:c>
      <x:c r="B15" s="8">
        <x:f>COUNTIF('Invoice Detail'!$O$4:$O$503,"DELIVERED")</x:f>
        <x:v>0</x:v>
      </x:c>
    </x:row>
    <x:row r="16">
      <x:c r="A16" s="7" t="inlineStr">
        <x:is>
          <x:t xml:space="preserve">Failed</x:t>
        </x:is>
      </x:c>
      <x:c r="B16" s="8">
        <x:f>COUNTIF('Invoice Detail'!$O$4:$O$503,"FAILED")</x:f>
        <x:v>0</x:v>
      </x:c>
    </x:row>
    <x:row r="17">
      <x:c r="A17" s="7" t="inlineStr">
        <x:is>
          <x:t xml:space="preserve">Partial</x:t>
        </x:is>
      </x:c>
      <x:c r="B17" s="8">
        <x:f>COUNTIF('Invoice Detail'!$O$4:$O$503,"PARTIAL")</x:f>
        <x:v>0</x:v>
      </x:c>
    </x:row>
    <x:row r="20" ht="20" customHeight="1">
      <x:c r="A20" s="6" t="inlineStr">
        <x:is>
          <x:t xml:space="preserve">Settlement Summary (by Type)</x:t>
        </x:is>
      </x:c>
    </x:row>
    <x:row r="21" ht="32" customHeight="1">
      <x:c r="A21" s="9" t="inlineStr">
        <x:is>
          <x:t xml:space="preserve">TYPE</x:t>
        </x:is>
      </x:c>
      <x:c r="B21" s="9" t="inlineStr">
        <x:is>
          <x:t xml:space="preserve">EXPECTED</x:t>
        </x:is>
      </x:c>
      <x:c r="C21" s="9" t="inlineStr">
        <x:is>
          <x:t xml:space="preserve">RECEIVED (Collected)</x:t>
        </x:is>
      </x:c>
      <x:c r="D21" s="9" t="inlineStr">
        <x:is>
          <x:t xml:space="preserve">VARIANCE (Collected-Expected)</x:t>
        </x:is>
      </x:c>
      <x:c r="E21" s="9" t="inlineStr">
        <x:is>
          <x:t xml:space="preserve">HANDED IN</x:t>
        </x:is>
      </x:c>
      <x:c r="F21" s="9" t="inlineStr">
        <x:is>
          <x:t xml:space="preserve">VARIANCE (HandedIn-Collected)</x:t>
        </x:is>
      </x:c>
      <x:c r="G21" s="9" t="inlineStr">
        <x:is>
          <x:t xml:space="preserve">EVIDENCE COUNT</x:t>
        </x:is>
      </x:c>
      <x:c r="H21" s="9" t="inlineStr">
        <x:is>
          <x:t xml:space="preserve">NOTES</x:t>
        </x:is>
      </x:c>
    </x:row>
    <x:row r="22" ht="20" customHeight="1">
      <x:c r="A22" s="10" t="inlineStr">
        <x:is>
          <x:t xml:space="preserve">CASH</x:t>
        </x:is>
      </x:c>
      <x:c r="B22" s="11">
        <x:f>SUMIFS('Invoice Detail'!$F$4:$F$503,'Invoice Detail'!$E$4:$E$503,"CASH")</x:f>
        <x:v>0</x:v>
      </x:c>
      <x:c r="C22" s="11">
        <x:f>SUMIFS('Invoice Detail'!$G$4:$G$503,'Invoice Detail'!$E$4:$E$503,"CASH")</x:f>
        <x:v>0</x:v>
      </x:c>
      <x:c r="D22" s="11">
        <x:f>C22-B22</x:f>
        <x:v>0</x:v>
      </x:c>
      <x:c r="E22" s="12" t="n">
        <x:v>0</x:v>
      </x:c>
      <x:c r="F22" s="11">
        <x:f>E22-C22</x:f>
        <x:v>0</x:v>
      </x:c>
      <x:c r="G22" s="13">
        <x:f>COUNTIFS('Invoice Detail'!$E$4:$E$503,"CASH",'Invoice Detail'!$I$4:$I$503,TRUE)</x:f>
        <x:v>0</x:v>
      </x:c>
      <x:c r="H22" s="14" t="inlineStr">
        <x:is>
          <x:t xml:space="preserve"/>
        </x:is>
      </x:c>
    </x:row>
    <x:row r="23" ht="20" customHeight="1">
      <x:c r="A23" s="10" t="inlineStr">
        <x:is>
          <x:t xml:space="preserve">DAY CHEQUE</x:t>
        </x:is>
      </x:c>
      <x:c r="B23" s="11">
        <x:f>SUMIFS('Invoice Detail'!$F$4:$F$503,'Invoice Detail'!$E$4:$E$503,"DAY CHEQUE")</x:f>
        <x:v>0</x:v>
      </x:c>
      <x:c r="C23" s="11">
        <x:f>SUMIFS('Invoice Detail'!$G$4:$G$503,'Invoice Detail'!$E$4:$E$503,"DAY CHEQUE")</x:f>
        <x:v>0</x:v>
      </x:c>
      <x:c r="D23" s="11">
        <x:f>C23-B23</x:f>
        <x:v>0</x:v>
      </x:c>
      <x:c r="E23" s="12" t="n">
        <x:v>0</x:v>
      </x:c>
      <x:c r="F23" s="11">
        <x:f>E23-C23</x:f>
        <x:v>0</x:v>
      </x:c>
      <x:c r="G23" s="13">
        <x:f>COUNTIFS('Invoice Detail'!$E$4:$E$503,"DAY CHEQUE",'Invoice Detail'!$I$4:$I$503,TRUE)</x:f>
        <x:v>0</x:v>
      </x:c>
      <x:c r="H23" s="14" t="inlineStr">
        <x:is>
          <x:t xml:space="preserve"/>
        </x:is>
      </x:c>
    </x:row>
    <x:row r="24" ht="20" customHeight="1">
      <x:c r="A24" s="10" t="inlineStr">
        <x:is>
          <x:t xml:space="preserve">POST DATED CHQ</x:t>
        </x:is>
      </x:c>
      <x:c r="B24" s="11">
        <x:f>SUMIFS('Invoice Detail'!$F$4:$F$503,'Invoice Detail'!$E$4:$E$503,"POST DATED CHQ")</x:f>
        <x:v>0</x:v>
      </x:c>
      <x:c r="C24" s="11">
        <x:f>SUMIFS('Invoice Detail'!$G$4:$G$503,'Invoice Detail'!$E$4:$E$503,"POST DATED CHQ")</x:f>
        <x:v>0</x:v>
      </x:c>
      <x:c r="D24" s="11">
        <x:f>C24-B24</x:f>
        <x:v>0</x:v>
      </x:c>
      <x:c r="E24" s="12" t="n">
        <x:v>0</x:v>
      </x:c>
      <x:c r="F24" s="11">
        <x:f>E24-C24</x:f>
        <x:v>0</x:v>
      </x:c>
      <x:c r="G24" s="13">
        <x:f>COUNTIFS('Invoice Detail'!$E$4:$E$503,"POST DATED CHQ",'Invoice Detail'!$I$4:$I$503,TRUE)</x:f>
        <x:v>0</x:v>
      </x:c>
      <x:c r="H24" s="14" t="inlineStr">
        <x:is>
          <x:t xml:space="preserve"/>
        </x:is>
      </x:c>
    </x:row>
    <x:row r="25" ht="20" customHeight="1">
      <x:c r="A25" s="10" t="inlineStr">
        <x:is>
          <x:t xml:space="preserve">ONLINE</x:t>
        </x:is>
      </x:c>
      <x:c r="B25" s="11">
        <x:f>SUMIFS('Invoice Detail'!$F$4:$F$503,'Invoice Detail'!$E$4:$E$503,"ONLINE")</x:f>
        <x:v>0</x:v>
      </x:c>
      <x:c r="C25" s="11">
        <x:f>SUMIFS('Invoice Detail'!$G$4:$G$503,'Invoice Detail'!$E$4:$E$503,"ONLINE")</x:f>
        <x:v>0</x:v>
      </x:c>
      <x:c r="D25" s="11">
        <x:f>C25-B25</x:f>
        <x:v>0</x:v>
      </x:c>
      <x:c r="E25" s="12" t="n">
        <x:v>0</x:v>
      </x:c>
      <x:c r="F25" s="11">
        <x:f>E25-C25</x:f>
        <x:v>0</x:v>
      </x:c>
      <x:c r="G25" s="13">
        <x:f>COUNTIFS('Invoice Detail'!$E$4:$E$503,"ONLINE",'Invoice Detail'!$I$4:$I$503,TRUE)</x:f>
        <x:v>0</x:v>
      </x:c>
      <x:c r="H25" s="14" t="inlineStr">
        <x:is>
          <x:t xml:space="preserve"/>
        </x:is>
      </x:c>
    </x:row>
    <x:row r="26" ht="20" customHeight="1">
      <x:c r="A26" s="10" t="inlineStr">
        <x:is>
          <x:t xml:space="preserve">CREDIT</x:t>
        </x:is>
      </x:c>
      <x:c r="B26" s="11">
        <x:f>SUMIFS('Invoice Detail'!$F$4:$F$503,'Invoice Detail'!$E$4:$E$503,"CREDIT")</x:f>
        <x:v>0</x:v>
      </x:c>
      <x:c r="C26" s="11">
        <x:f>SUMIFS('Invoice Detail'!$G$4:$G$503,'Invoice Detail'!$E$4:$E$503,"CREDIT")</x:f>
        <x:v>0</x:v>
      </x:c>
      <x:c r="D26" s="11">
        <x:f>C26-B26</x:f>
        <x:v>0</x:v>
      </x:c>
      <x:c r="E26" s="12" t="n">
        <x:v>0</x:v>
      </x:c>
      <x:c r="F26" s="11">
        <x:f>E26-C26</x:f>
        <x:v>0</x:v>
      </x:c>
      <x:c r="G26" s="13">
        <x:f>COUNTIFS('Invoice Detail'!$E$4:$E$503,"CREDIT",'Invoice Detail'!$I$4:$I$503,TRUE)</x:f>
        <x:v>0</x:v>
      </x:c>
      <x:c r="H26" s="14" t="inlineStr">
        <x:is>
          <x:t xml:space="preserve"/>
        </x:is>
      </x:c>
    </x:row>
    <x:row r="27" ht="20" customHeight="1">
      <x:c r="A27" s="15" t="inlineStr">
        <x:is>
          <x:t xml:space="preserve">TOTAL</x:t>
        </x:is>
      </x:c>
      <x:c r="B27" s="11">
        <x:f>SUM(B22:B26)</x:f>
        <x:v>0</x:v>
      </x:c>
      <x:c r="C27" s="11">
        <x:f>SUM(C22:C26)</x:f>
        <x:v>0</x:v>
      </x:c>
      <x:c r="D27" s="11">
        <x:f>C27-B27</x:f>
        <x:v>0</x:v>
      </x:c>
      <x:c r="E27" s="11">
        <x:f>SUM(E22:E26)</x:f>
        <x:v>0</x:v>
      </x:c>
      <x:c r="F27" s="11">
        <x:f>E27-C27</x:f>
        <x:v>0</x:v>
      </x:c>
      <x:c r="G27" s="13">
        <x:f>SUM(G22:G26)</x:f>
        <x:v>0</x:v>
      </x:c>
      <x:c r="H27" s="16" t="inlineStr">
        <x:is>
          <x:t xml:space="preserve"/>
        </x:is>
      </x:c>
    </x:row>
    <x:row r="30" ht="20" customHeight="1">
      <x:c r="A30" s="6" t="inlineStr">
        <x:is>
          <x:t xml:space="preserve">Blockers to Close (auto counts)</x:t>
        </x:is>
      </x:c>
    </x:row>
    <x:row r="31">
      <x:c r="A31" s="7" t="inlineStr">
        <x:is>
          <x:t xml:space="preserve">Missing PODs</x:t>
        </x:is>
      </x:c>
      <x:c r="B31" s="17">
        <x:f>COUNTIFS('Invoice Detail'!$O$4:$O$503,"DELIVERED",'Invoice Detail'!$J$4:$J$503,FALSE)+COUNTIFS('Invoice Detail'!$O$4:$O$503,"PARTIAL",'Invoice Detail'!$J$4:$J$503,FALSE)</x:f>
        <x:v>0</x:v>
      </x:c>
    </x:row>
    <x:row r="32">
      <x:c r="A32" s="7" t="inlineStr">
        <x:is>
          <x:t xml:space="preserve">Missing receipt/ack numbers</x:t>
        </x:is>
      </x:c>
      <x:c r="B32" s="17">
        <x:f>COUNTIFS('Invoice Detail'!$E$4:$E$503,"CASH",'Invoice Detail'!$K$4:$K$503,FALSE)+COUNTIFS('Invoice Detail'!$E$4:$E$503,"DAY CHEQUE",'Invoice Detail'!$K$4:$K$503,FALSE)+COUNTIFS('Invoice Detail'!$E$4:$E$503,"POST DATED CHQ",'Invoice Detail'!$K$4:$K$503,FALSE)</x:f>
        <x:v>0</x:v>
      </x:c>
    </x:row>
    <x:row r="33">
      <x:c r="A33" s="7" t="inlineStr">
        <x:is>
          <x:t xml:space="preserve">Open discrepancies</x:t>
        </x:is>
      </x:c>
      <x:c r="B33" s="17">
        <x:f>COUNTIF('Invoice Detail'!$P$4:$P$503,TRUE)</x:f>
        <x:v>0</x:v>
      </x:c>
    </x:row>
    <x:row r="34">
      <x:c r="A34" s="7" t="inlineStr">
        <x:is>
          <x:t xml:space="preserve">Open post-delivery cases</x:t>
        </x:is>
      </x:c>
      <x:c r="B34" s="17">
        <x:f>COUNTIF('Invoice Detail'!$Q$4:$Q$503,TRUE)</x:f>
        <x:v>0</x:v>
      </x:c>
    </x:row>
    <x:row r="35">
      <x:c r="A35" s="7" t="inlineStr">
        <x:is>
          <x:t xml:space="preserve">Credit notes required</x:t>
        </x:is>
      </x:c>
      <x:c r="B35" s="17">
        <x:f>COUNTIF('Invoice Detail'!$R$4:$R$503,TRUE)</x:f>
        <x:v>0</x:v>
      </x:c>
    </x:row>
    <x:row r="36">
      <x:c r="A36" s="7" t="inlineStr">
        <x:is>
          <x:t xml:space="preserve">Post-dated cheques missing date</x:t>
        </x:is>
      </x:c>
      <x:c r="B36" s="17">
        <x:f>COUNTIFS('Invoice Detail'!$E$4:$E$503,"POST DATED CHQ",'Invoice Detail'!$M$4:$M$503,"")</x:f>
        <x:v>0</x:v>
      </x:c>
    </x:row>
    <x:row r="37">
      <x:c r="A37" s="7" t="inlineStr">
        <x:is>
          <x:t xml:space="preserve">Online pending (not allocated)</x:t>
        </x:is>
      </x:c>
      <x:c r="B37" s="17">
        <x:f>COUNTIFS('Invoice Detail'!$E$4:$E$503,"ONLINE",'Invoice Detail'!$V$4:$V$503,FALSE)</x:f>
        <x:v>0</x:v>
      </x:c>
    </x:row>
    <x:row r="38">
      <x:c r="A38" s="7" t="inlineStr">
        <x:is>
          <x:t xml:space="preserve">Receipts not synced to PS365</x:t>
        </x:is>
      </x:c>
      <x:c r="B38" s="17">
        <x:f>COUNTIFS('Invoice Detail'!$I$4:$I$503,TRUE,'Invoice Detail'!$U$4:$U$503,FALSE)</x:f>
        <x:v>0</x:v>
      </x:c>
    </x:row>
    <x:row r="41" ht="20" customHeight="1">
      <x:c r="A41" s="6" t="inlineStr">
        <x:is>
          <x:t xml:space="preserve">Sign-offs</x:t>
        </x:is>
      </x:c>
    </x:row>
    <x:row r="42">
      <x:c r="A42" s="18" t="inlineStr">
        <x:is>
          <x:t xml:space="preserve">Driver</x:t>
        </x:is>
      </x:c>
      <x:c r="B42" s="19" t="inlineStr">
        <x:is>
          <x:t xml:space="preserve">Name:</x:t>
        </x:is>
      </x:c>
      <x:c r="C42" s="20" t="inlineStr">
        <x:is>
          <x:t xml:space="preserve"/>
        </x:is>
      </x:c>
      <x:c r="D42" s="19" t="inlineStr">
        <x:is>
          <x:t xml:space="preserve">Date:</x:t>
        </x:is>
      </x:c>
      <x:c r="E42" s="20" t="inlineStr">
        <x:is>
          <x:t xml:space="preserve"/>
        </x:is>
      </x:c>
      <x:c r="F42" s="19" t="inlineStr">
        <x:is>
          <x:t xml:space="preserve">Signature:</x:t>
        </x:is>
      </x:c>
      <x:c r="G42" s="20" t="inlineStr">
        <x:is>
          <x:t xml:space="preserve"/>
        </x:is>
      </x:c>
      <x:c r="H42" s="5" t="n"/>
    </x:row>
    <x:row r="43">
      <x:c r="A43" s="18" t="inlineStr">
        <x:is>
          <x:t xml:space="preserve">Checker</x:t>
        </x:is>
      </x:c>
      <x:c r="B43" s="19" t="inlineStr">
        <x:is>
          <x:t xml:space="preserve">Name:</x:t>
        </x:is>
      </x:c>
      <x:c r="C43" s="20" t="inlineStr">
        <x:is>
          <x:t xml:space="preserve"/>
        </x:is>
      </x:c>
      <x:c r="D43" s="19" t="inlineStr">
        <x:is>
          <x:t xml:space="preserve">Date:</x:t>
        </x:is>
      </x:c>
      <x:c r="E43" s="20" t="inlineStr">
        <x:is>
          <x:t xml:space="preserve"/>
        </x:is>
      </x:c>
      <x:c r="F43" s="19" t="inlineStr">
        <x:is>
          <x:t xml:space="preserve">Signature:</x:t>
        </x:is>
      </x:c>
      <x:c r="G43" s="20" t="inlineStr">
        <x:is>
          <x:t xml:space="preserve"/>
        </x:is>
      </x:c>
      <x:c r="H43" s="5" t="n"/>
    </x:row>
    <x:row r="44">
      <x:c r="A44" s="18" t="inlineStr">
        <x:is>
          <x:t xml:space="preserve">Accounting</x:t>
        </x:is>
      </x:c>
      <x:c r="B44" s="19" t="inlineStr">
        <x:is>
          <x:t xml:space="preserve">Name:</x:t>
        </x:is>
      </x:c>
      <x:c r="C44" s="20" t="inlineStr">
        <x:is>
          <x:t xml:space="preserve"/>
        </x:is>
      </x:c>
      <x:c r="D44" s="19" t="inlineStr">
        <x:is>
          <x:t xml:space="preserve">Date:</x:t>
        </x:is>
      </x:c>
      <x:c r="E44" s="20" t="inlineStr">
        <x:is>
          <x:t xml:space="preserve"/>
        </x:is>
      </x:c>
      <x:c r="F44" s="19" t="inlineStr">
        <x:is>
          <x:t xml:space="preserve">Signature:</x:t>
        </x:is>
      </x:c>
      <x:c r="G44" s="20" t="inlineStr">
        <x:is>
          <x:t xml:space="preserve"/>
        </x:is>
      </x:c>
      <x:c r="H44" s="5" t="n"/>
    </x:row>
  </x:sheetData>
  <x:mergeCells>
    <x:mergeCell ref="A1:H1"/>
    <x:mergeCell ref="G43:H43"/>
    <x:mergeCell ref="A30:H30"/>
    <x:mergeCell ref="B9:H9"/>
    <x:mergeCell ref="C43:C43"/>
    <x:mergeCell ref="A20:H20"/>
    <x:mergeCell ref="G42:H42"/>
    <x:mergeCell ref="A41:H41"/>
    <x:mergeCell ref="C31:H38"/>
    <x:mergeCell ref="A11:H11"/>
    <x:mergeCell ref="C42:C42"/>
    <x:mergeCell ref="G44:H44"/>
    <x:mergeCell ref="C12:H17"/>
    <x:mergeCell ref="C44:C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8" customWidth="1"/>
    <x:col min="3" max="3" width="14" customWidth="1"/>
    <x:col min="4" max="4" width="14" customWidth="1"/>
    <x:col min="5" max="5" width="14" customWidth="1"/>
    <x:col min="6" max="6" width="12" customWidth="1"/>
    <x:col min="7" max="7" width="16" customWidth="1"/>
    <x:col min="8" max="8" width="12" customWidth="1"/>
    <x:col min="9" max="9" width="18" customWidth="1"/>
    <x:col min="10" max="10" width="14" customWidth="1"/>
    <x:col min="11" max="11" width="16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6" customWidth="1"/>
    <x:col min="17" max="17" width="18" customWidth="1"/>
    <x:col min="18" max="18" width="18" customWidth="1"/>
    <x:col min="19" max="19" width="14" customWidth="1"/>
    <x:col min="20" max="20" width="12" customWidth="1"/>
    <x:col min="21" max="21" width="18" customWidth="1"/>
    <x:col min="22" max="22" width="14" customWidth="1"/>
    <x:col min="23" max="23" width="14" customWidth="1"/>
    <x:col min="24" max="24" width="22" customWidth="1"/>
  </x:cols>
  <x:sheetData>
    <x:row r="1" ht="28" customHeight="1">
      <x:c r="A1" s="1" t="inlineStr">
        <x:is>
          <x:t xml:space="preserve">Invoice-level Reconciliation Detail (Template)</x:t>
        </x:is>
      </x:c>
    </x:row>
    <x:row r="3" ht="42" customHeight="1">
      <x:c r="A3" s="21" t="inlineStr">
        <x:is>
          <x:t xml:space="preserve">Route ID</x:t>
        </x:is>
      </x:c>
      <x:c r="B3" s="21" t="inlineStr">
        <x:is>
          <x:t xml:space="preserve">Stop Seq</x:t>
        </x:is>
      </x:c>
      <x:c r="C3" s="21" t="inlineStr">
        <x:is>
          <x:t xml:space="preserve">Customer Code</x:t>
        </x:is>
      </x:c>
      <x:c r="D3" s="21" t="inlineStr">
        <x:is>
          <x:t xml:space="preserve">Invoice No</x:t>
        </x:is>
      </x:c>
      <x:c r="E3" s="21" t="inlineStr">
        <x:is>
          <x:t xml:space="preserve">Payment Type</x:t>
        </x:is>
      </x:c>
      <x:c r="F3" s="21" t="inlineStr">
        <x:is>
          <x:t xml:space="preserve">Expected €</x:t>
        </x:is>
      </x:c>
      <x:c r="G3" s="21" t="inlineStr">
        <x:is>
          <x:t xml:space="preserve">Received € (Allocated)</x:t>
        </x:is>
      </x:c>
      <x:c r="H3" s="21" t="inlineStr">
        <x:is>
          <x:t xml:space="preserve">Variance €</x:t>
        </x:is>
      </x:c>
      <x:c r="I3" s="21" t="inlineStr">
        <x:is>
          <x:t xml:space="preserve">Has Payment Evidence</x:t>
        </x:is>
      </x:c>
      <x:c r="J3" s="21" t="inlineStr">
        <x:is>
          <x:t xml:space="preserve">Has POD Evidence</x:t>
        </x:is>
      </x:c>
      <x:c r="K3" s="21" t="inlineStr">
        <x:is>
          <x:t xml:space="preserve">Has Receipt/Ack No</x:t>
        </x:is>
      </x:c>
      <x:c r="L3" s="21" t="inlineStr">
        <x:is>
          <x:t xml:space="preserve">Cheque No</x:t>
        </x:is>
      </x:c>
      <x:c r="M3" s="21" t="inlineStr">
        <x:is>
          <x:t xml:space="preserve">Cheque Date</x:t>
        </x:is>
      </x:c>
      <x:c r="N3" s="21" t="inlineStr">
        <x:is>
          <x:t xml:space="preserve">Online Ref</x:t>
        </x:is>
      </x:c>
      <x:c r="O3" s="21" t="inlineStr">
        <x:is>
          <x:t xml:space="preserve">POD Status</x:t>
        </x:is>
      </x:c>
      <x:c r="P3" s="21" t="inlineStr">
        <x:is>
          <x:t xml:space="preserve">Discrepancy Open</x:t>
        </x:is>
      </x:c>
      <x:c r="Q3" s="21" t="inlineStr">
        <x:is>
          <x:t xml:space="preserve">Post-Delivery Case Open</x:t>
        </x:is>
      </x:c>
      <x:c r="R3" s="21" t="inlineStr">
        <x:is>
          <x:t xml:space="preserve">Credit Note Required</x:t>
        </x:is>
      </x:c>
      <x:c r="S3" s="21" t="inlineStr">
        <x:is>
          <x:t xml:space="preserve">Credit Note No</x:t>
        </x:is>
      </x:c>
      <x:c r="T3" s="21" t="inlineStr">
        <x:is>
          <x:t xml:space="preserve">Credit Note €</x:t>
        </x:is>
      </x:c>
      <x:c r="U3" s="21" t="inlineStr">
        <x:is>
          <x:t xml:space="preserve">PS365 Receipt Synced</x:t>
        </x:is>
      </x:c>
      <x:c r="V3" s="21" t="inlineStr">
        <x:is>
          <x:t xml:space="preserve">Online Allocated</x:t>
        </x:is>
      </x:c>
      <x:c r="W3" s="21" t="inlineStr">
        <x:is>
          <x:t xml:space="preserve">Exception Flag</x:t>
        </x:is>
      </x:c>
      <x:c r="X3" s="21" t="inlineStr">
        <x:is>
          <x:t xml:space="preserve">Exception Notes</x:t>
        </x:is>
      </x:c>
    </x:row>
    <x:row r="4">
      <x:c r="A4" s="22" t="n"/>
      <x:c r="B4" s="22" t="n"/>
      <x:c r="C4" s="22" t="n"/>
      <x:c r="D4" s="22" t="n"/>
      <x:c r="E4" s="22" t="n"/>
      <x:c r="F4" s="23" t="n"/>
      <x:c r="G4" s="23" t="n"/>
      <x:c r="H4" s="24">
        <x:f>IF(OR(ISBLANK(F4),ISBLANK(G4)),"",G4-F4)</x:f>
      </x:c>
      <x:c r="I4" s="25" t="n"/>
      <x:c r="J4" s="25" t="n"/>
      <x:c r="K4" s="25" t="n"/>
      <x:c r="L4" s="22" t="n"/>
      <x:c r="M4" s="22" t="n"/>
      <x:c r="N4" s="22" t="n"/>
      <x:c r="O4" s="22" t="n"/>
      <x:c r="P4" s="25" t="n"/>
      <x:c r="Q4" s="25" t="n"/>
      <x:c r="R4" s="25" t="n"/>
      <x:c r="S4" s="22" t="n"/>
      <x:c r="T4" s="23" t="n"/>
      <x:c r="U4" s="25" t="n"/>
      <x:c r="V4" s="25" t="n"/>
      <x:c r="W4" s="25">
        <x:f>IF(OR(AND(OR(O4="DELIVERED",O4="PARTIAL"),J4&lt;&gt;TRUE),AND(OR(E4="CASH",E4="DAY CHEQUE",E4="POST DATED CHQ"),I4&lt;&gt;TRUE),AND(OR(E4="CASH",E4="DAY CHEQUE",E4="POST DATED CHQ"),K4&lt;&gt;TRUE),AND(E4="POST DATED CHQ",ISBLANK(M4)),P4=TRUE,Q4=TRUE,AND(R4=TRUE,OR(ISBLANK(S4),ISBLANK(T4))),AND(E4="ONLINE",V4&lt;&gt;TRUE),AND(I4=TRUE,U4&lt;&gt;TRUE)),TRUE,FALSE)</x:f>
        <x:v>0</x:v>
      </x:c>
      <x:c r="X4" s="22" t="n"/>
    </x:row>
    <x:row r="5">
      <x:c r="A5" s="22" t="n"/>
      <x:c r="B5" s="22" t="n"/>
      <x:c r="C5" s="22" t="n"/>
      <x:c r="D5" s="22" t="n"/>
      <x:c r="E5" s="22" t="n"/>
      <x:c r="F5" s="23" t="n"/>
      <x:c r="G5" s="23" t="n"/>
      <x:c r="H5" s="24">
        <x:f>IF(OR(ISBLANK(F5),ISBLANK(G5)),"",G5-F5)</x:f>
      </x:c>
      <x:c r="I5" s="25" t="n"/>
      <x:c r="J5" s="25" t="n"/>
      <x:c r="K5" s="25" t="n"/>
      <x:c r="L5" s="22" t="n"/>
      <x:c r="M5" s="22" t="n"/>
      <x:c r="N5" s="22" t="n"/>
      <x:c r="O5" s="22" t="n"/>
      <x:c r="P5" s="25" t="n"/>
      <x:c r="Q5" s="25" t="n"/>
      <x:c r="R5" s="25" t="n"/>
      <x:c r="S5" s="22" t="n"/>
      <x:c r="T5" s="23" t="n"/>
      <x:c r="U5" s="25" t="n"/>
      <x:c r="V5" s="25" t="n"/>
      <x:c r="W5" s="25">
        <x:f>IF(OR(AND(OR(O5="DELIVERED",O5="PARTIAL"),J5&lt;&gt;TRUE),AND(OR(E5="CASH",E5="DAY CHEQUE",E5="POST DATED CHQ"),I5&lt;&gt;TRUE),AND(OR(E5="CASH",E5="DAY CHEQUE",E5="POST DATED CHQ"),K5&lt;&gt;TRUE),AND(E5="POST DATED CHQ",ISBLANK(M5)),P5=TRUE,Q5=TRUE,AND(R5=TRUE,OR(ISBLANK(S5),ISBLANK(T5))),AND(E5="ONLINE",V5&lt;&gt;TRUE),AND(I5=TRUE,U5&lt;&gt;TRUE)),TRUE,FALSE)</x:f>
        <x:v>0</x:v>
      </x:c>
      <x:c r="X5" s="22" t="n"/>
    </x:row>
    <x:row r="6">
      <x:c r="A6" s="22" t="n"/>
      <x:c r="B6" s="22" t="n"/>
      <x:c r="C6" s="22" t="n"/>
      <x:c r="D6" s="22" t="n"/>
      <x:c r="E6" s="22" t="n"/>
      <x:c r="F6" s="23" t="n"/>
      <x:c r="G6" s="23" t="n"/>
      <x:c r="H6" s="24">
        <x:f>IF(OR(ISBLANK(F6),ISBLANK(G6)),"",G6-F6)</x:f>
      </x:c>
      <x:c r="I6" s="25" t="n"/>
      <x:c r="J6" s="25" t="n"/>
      <x:c r="K6" s="25" t="n"/>
      <x:c r="L6" s="22" t="n"/>
      <x:c r="M6" s="22" t="n"/>
      <x:c r="N6" s="22" t="n"/>
      <x:c r="O6" s="22" t="n"/>
      <x:c r="P6" s="25" t="n"/>
      <x:c r="Q6" s="25" t="n"/>
      <x:c r="R6" s="25" t="n"/>
      <x:c r="S6" s="22" t="n"/>
      <x:c r="T6" s="23" t="n"/>
      <x:c r="U6" s="25" t="n"/>
      <x:c r="V6" s="25" t="n"/>
      <x:c r="W6" s="25">
        <x:f>IF(OR(AND(OR(O6="DELIVERED",O6="PARTIAL"),J6&lt;&gt;TRUE),AND(OR(E6="CASH",E6="DAY CHEQUE",E6="POST DATED CHQ"),I6&lt;&gt;TRUE),AND(OR(E6="CASH",E6="DAY CHEQUE",E6="POST DATED CHQ"),K6&lt;&gt;TRUE),AND(E6="POST DATED CHQ",ISBLANK(M6)),P6=TRUE,Q6=TRUE,AND(R6=TRUE,OR(ISBLANK(S6),ISBLANK(T6))),AND(E6="ONLINE",V6&lt;&gt;TRUE),AND(I6=TRUE,U6&lt;&gt;TRUE)),TRUE,FALSE)</x:f>
        <x:v>0</x:v>
      </x:c>
      <x:c r="X6" s="22" t="n"/>
    </x:row>
    <x:row r="7">
      <x:c r="A7" s="22" t="n"/>
      <x:c r="B7" s="22" t="n"/>
      <x:c r="C7" s="22" t="n"/>
      <x:c r="D7" s="22" t="n"/>
      <x:c r="E7" s="22" t="n"/>
      <x:c r="F7" s="23" t="n"/>
      <x:c r="G7" s="23" t="n"/>
      <x:c r="H7" s="24">
        <x:f>IF(OR(ISBLANK(F7),ISBLANK(G7)),"",G7-F7)</x:f>
      </x:c>
      <x:c r="I7" s="25" t="n"/>
      <x:c r="J7" s="25" t="n"/>
      <x:c r="K7" s="25" t="n"/>
      <x:c r="L7" s="22" t="n"/>
      <x:c r="M7" s="22" t="n"/>
      <x:c r="N7" s="22" t="n"/>
      <x:c r="O7" s="22" t="n"/>
      <x:c r="P7" s="25" t="n"/>
      <x:c r="Q7" s="25" t="n"/>
      <x:c r="R7" s="25" t="n"/>
      <x:c r="S7" s="22" t="n"/>
      <x:c r="T7" s="23" t="n"/>
      <x:c r="U7" s="25" t="n"/>
      <x:c r="V7" s="25" t="n"/>
      <x:c r="W7" s="25">
        <x:f>IF(OR(AND(OR(O7="DELIVERED",O7="PARTIAL"),J7&lt;&gt;TRUE),AND(OR(E7="CASH",E7="DAY CHEQUE",E7="POST DATED CHQ"),I7&lt;&gt;TRUE),AND(OR(E7="CASH",E7="DAY CHEQUE",E7="POST DATED CHQ"),K7&lt;&gt;TRUE),AND(E7="POST DATED CHQ",ISBLANK(M7)),P7=TRUE,Q7=TRUE,AND(R7=TRUE,OR(ISBLANK(S7),ISBLANK(T7))),AND(E7="ONLINE",V7&lt;&gt;TRUE),AND(I7=TRUE,U7&lt;&gt;TRUE)),TRUE,FALSE)</x:f>
        <x:v>0</x:v>
      </x:c>
      <x:c r="X7" s="22" t="n"/>
    </x:row>
    <x:row r="8">
      <x:c r="A8" s="22" t="n"/>
      <x:c r="B8" s="22" t="n"/>
      <x:c r="C8" s="22" t="n"/>
      <x:c r="D8" s="22" t="n"/>
      <x:c r="E8" s="22" t="n"/>
      <x:c r="F8" s="23" t="n"/>
      <x:c r="G8" s="23" t="n"/>
      <x:c r="H8" s="24">
        <x:f>IF(OR(ISBLANK(F8),ISBLANK(G8)),"",G8-F8)</x:f>
      </x:c>
      <x:c r="I8" s="25" t="n"/>
      <x:c r="J8" s="25" t="n"/>
      <x:c r="K8" s="25" t="n"/>
      <x:c r="L8" s="22" t="n"/>
      <x:c r="M8" s="22" t="n"/>
      <x:c r="N8" s="22" t="n"/>
      <x:c r="O8" s="22" t="n"/>
      <x:c r="P8" s="25" t="n"/>
      <x:c r="Q8" s="25" t="n"/>
      <x:c r="R8" s="25" t="n"/>
      <x:c r="S8" s="22" t="n"/>
      <x:c r="T8" s="23" t="n"/>
      <x:c r="U8" s="25" t="n"/>
      <x:c r="V8" s="25" t="n"/>
      <x:c r="W8" s="25">
        <x:f>IF(OR(AND(OR(O8="DELIVERED",O8="PARTIAL"),J8&lt;&gt;TRUE),AND(OR(E8="CASH",E8="DAY CHEQUE",E8="POST DATED CHQ"),I8&lt;&gt;TRUE),AND(OR(E8="CASH",E8="DAY CHEQUE",E8="POST DATED CHQ"),K8&lt;&gt;TRUE),AND(E8="POST DATED CHQ",ISBLANK(M8)),P8=TRUE,Q8=TRUE,AND(R8=TRUE,OR(ISBLANK(S8),ISBLANK(T8))),AND(E8="ONLINE",V8&lt;&gt;TRUE),AND(I8=TRUE,U8&lt;&gt;TRUE)),TRUE,FALSE)</x:f>
        <x:v>0</x:v>
      </x:c>
      <x:c r="X8" s="22" t="n"/>
    </x:row>
    <x:row r="9">
      <x:c r="A9" s="22" t="n"/>
      <x:c r="B9" s="22" t="n"/>
      <x:c r="C9" s="22" t="n"/>
      <x:c r="D9" s="22" t="n"/>
      <x:c r="E9" s="22" t="n"/>
      <x:c r="F9" s="23" t="n"/>
      <x:c r="G9" s="23" t="n"/>
      <x:c r="H9" s="24">
        <x:f>IF(OR(ISBLANK(F9),ISBLANK(G9)),"",G9-F9)</x:f>
      </x:c>
      <x:c r="I9" s="25" t="n"/>
      <x:c r="J9" s="25" t="n"/>
      <x:c r="K9" s="25" t="n"/>
      <x:c r="L9" s="22" t="n"/>
      <x:c r="M9" s="22" t="n"/>
      <x:c r="N9" s="22" t="n"/>
      <x:c r="O9" s="22" t="n"/>
      <x:c r="P9" s="25" t="n"/>
      <x:c r="Q9" s="25" t="n"/>
      <x:c r="R9" s="25" t="n"/>
      <x:c r="S9" s="22" t="n"/>
      <x:c r="T9" s="23" t="n"/>
      <x:c r="U9" s="25" t="n"/>
      <x:c r="V9" s="25" t="n"/>
      <x:c r="W9" s="25">
        <x:f>IF(OR(AND(OR(O9="DELIVERED",O9="PARTIAL"),J9&lt;&gt;TRUE),AND(OR(E9="CASH",E9="DAY CHEQUE",E9="POST DATED CHQ"),I9&lt;&gt;TRUE),AND(OR(E9="CASH",E9="DAY CHEQUE",E9="POST DATED CHQ"),K9&lt;&gt;TRUE),AND(E9="POST DATED CHQ",ISBLANK(M9)),P9=TRUE,Q9=TRUE,AND(R9=TRUE,OR(ISBLANK(S9),ISBLANK(T9))),AND(E9="ONLINE",V9&lt;&gt;TRUE),AND(I9=TRUE,U9&lt;&gt;TRUE)),TRUE,FALSE)</x:f>
        <x:v>0</x:v>
      </x:c>
      <x:c r="X9" s="22" t="n"/>
    </x:row>
    <x:row r="10">
      <x:c r="A10" s="22" t="n"/>
      <x:c r="B10" s="22" t="n"/>
      <x:c r="C10" s="22" t="n"/>
      <x:c r="D10" s="22" t="n"/>
      <x:c r="E10" s="22" t="n"/>
      <x:c r="F10" s="23" t="n"/>
      <x:c r="G10" s="23" t="n"/>
      <x:c r="H10" s="24">
        <x:f>IF(OR(ISBLANK(F10),ISBLANK(G10)),"",G10-F10)</x:f>
      </x:c>
      <x:c r="I10" s="25" t="n"/>
      <x:c r="J10" s="25" t="n"/>
      <x:c r="K10" s="25" t="n"/>
      <x:c r="L10" s="22" t="n"/>
      <x:c r="M10" s="22" t="n"/>
      <x:c r="N10" s="22" t="n"/>
      <x:c r="O10" s="22" t="n"/>
      <x:c r="P10" s="25" t="n"/>
      <x:c r="Q10" s="25" t="n"/>
      <x:c r="R10" s="25" t="n"/>
      <x:c r="S10" s="22" t="n"/>
      <x:c r="T10" s="23" t="n"/>
      <x:c r="U10" s="25" t="n"/>
      <x:c r="V10" s="25" t="n"/>
      <x:c r="W10" s="25">
        <x:f>IF(OR(AND(OR(O10="DELIVERED",O10="PARTIAL"),J10&lt;&gt;TRUE),AND(OR(E10="CASH",E10="DAY CHEQUE",E10="POST DATED CHQ"),I10&lt;&gt;TRUE),AND(OR(E10="CASH",E10="DAY CHEQUE",E10="POST DATED CHQ"),K10&lt;&gt;TRUE),AND(E10="POST DATED CHQ",ISBLANK(M10)),P10=TRUE,Q10=TRUE,AND(R10=TRUE,OR(ISBLANK(S10),ISBLANK(T10))),AND(E10="ONLINE",V10&lt;&gt;TRUE),AND(I10=TRUE,U10&lt;&gt;TRUE)),TRUE,FALSE)</x:f>
        <x:v>0</x:v>
      </x:c>
      <x:c r="X10" s="22" t="n"/>
    </x:row>
    <x:row r="11">
      <x:c r="A11" s="22" t="n"/>
      <x:c r="B11" s="22" t="n"/>
      <x:c r="C11" s="22" t="n"/>
      <x:c r="D11" s="22" t="n"/>
      <x:c r="E11" s="22" t="n"/>
      <x:c r="F11" s="23" t="n"/>
      <x:c r="G11" s="23" t="n"/>
      <x:c r="H11" s="24">
        <x:f>IF(OR(ISBLANK(F11),ISBLANK(G11)),"",G11-F11)</x:f>
      </x:c>
      <x:c r="I11" s="25" t="n"/>
      <x:c r="J11" s="25" t="n"/>
      <x:c r="K11" s="25" t="n"/>
      <x:c r="L11" s="22" t="n"/>
      <x:c r="M11" s="22" t="n"/>
      <x:c r="N11" s="22" t="n"/>
      <x:c r="O11" s="22" t="n"/>
      <x:c r="P11" s="25" t="n"/>
      <x:c r="Q11" s="25" t="n"/>
      <x:c r="R11" s="25" t="n"/>
      <x:c r="S11" s="22" t="n"/>
      <x:c r="T11" s="23" t="n"/>
      <x:c r="U11" s="25" t="n"/>
      <x:c r="V11" s="25" t="n"/>
      <x:c r="W11" s="25">
        <x:f>IF(OR(AND(OR(O11="DELIVERED",O11="PARTIAL"),J11&lt;&gt;TRUE),AND(OR(E11="CASH",E11="DAY CHEQUE",E11="POST DATED CHQ"),I11&lt;&gt;TRUE),AND(OR(E11="CASH",E11="DAY CHEQUE",E11="POST DATED CHQ"),K11&lt;&gt;TRUE),AND(E11="POST DATED CHQ",ISBLANK(M11)),P11=TRUE,Q11=TRUE,AND(R11=TRUE,OR(ISBLANK(S11),ISBLANK(T11))),AND(E11="ONLINE",V11&lt;&gt;TRUE),AND(I11=TRUE,U11&lt;&gt;TRUE)),TRUE,FALSE)</x:f>
        <x:v>0</x:v>
      </x:c>
      <x:c r="X11" s="22" t="n"/>
    </x:row>
    <x:row r="12">
      <x:c r="A12" s="22" t="n"/>
      <x:c r="B12" s="22" t="n"/>
      <x:c r="C12" s="22" t="n"/>
      <x:c r="D12" s="22" t="n"/>
      <x:c r="E12" s="22" t="n"/>
      <x:c r="F12" s="23" t="n"/>
      <x:c r="G12" s="23" t="n"/>
      <x:c r="H12" s="24">
        <x:f>IF(OR(ISBLANK(F12),ISBLANK(G12)),"",G12-F12)</x:f>
      </x:c>
      <x:c r="I12" s="25" t="n"/>
      <x:c r="J12" s="25" t="n"/>
      <x:c r="K12" s="25" t="n"/>
      <x:c r="L12" s="22" t="n"/>
      <x:c r="M12" s="22" t="n"/>
      <x:c r="N12" s="22" t="n"/>
      <x:c r="O12" s="22" t="n"/>
      <x:c r="P12" s="25" t="n"/>
      <x:c r="Q12" s="25" t="n"/>
      <x:c r="R12" s="25" t="n"/>
      <x:c r="S12" s="22" t="n"/>
      <x:c r="T12" s="23" t="n"/>
      <x:c r="U12" s="25" t="n"/>
      <x:c r="V12" s="25" t="n"/>
      <x:c r="W12" s="25">
        <x:f>IF(OR(AND(OR(O12="DELIVERED",O12="PARTIAL"),J12&lt;&gt;TRUE),AND(OR(E12="CASH",E12="DAY CHEQUE",E12="POST DATED CHQ"),I12&lt;&gt;TRUE),AND(OR(E12="CASH",E12="DAY CHEQUE",E12="POST DATED CHQ"),K12&lt;&gt;TRUE),AND(E12="POST DATED CHQ",ISBLANK(M12)),P12=TRUE,Q12=TRUE,AND(R12=TRUE,OR(ISBLANK(S12),ISBLANK(T12))),AND(E12="ONLINE",V12&lt;&gt;TRUE),AND(I12=TRUE,U12&lt;&gt;TRUE)),TRUE,FALSE)</x:f>
        <x:v>0</x:v>
      </x:c>
      <x:c r="X12" s="22" t="n"/>
    </x:row>
    <x:row r="13">
      <x:c r="A13" s="22" t="n"/>
      <x:c r="B13" s="22" t="n"/>
      <x:c r="C13" s="22" t="n"/>
      <x:c r="D13" s="22" t="n"/>
      <x:c r="E13" s="22" t="n"/>
      <x:c r="F13" s="23" t="n"/>
      <x:c r="G13" s="23" t="n"/>
      <x:c r="H13" s="24">
        <x:f>IF(OR(ISBLANK(F13),ISBLANK(G13)),"",G13-F13)</x:f>
      </x:c>
      <x:c r="I13" s="25" t="n"/>
      <x:c r="J13" s="25" t="n"/>
      <x:c r="K13" s="25" t="n"/>
      <x:c r="L13" s="22" t="n"/>
      <x:c r="M13" s="22" t="n"/>
      <x:c r="N13" s="22" t="n"/>
      <x:c r="O13" s="22" t="n"/>
      <x:c r="P13" s="25" t="n"/>
      <x:c r="Q13" s="25" t="n"/>
      <x:c r="R13" s="25" t="n"/>
      <x:c r="S13" s="22" t="n"/>
      <x:c r="T13" s="23" t="n"/>
      <x:c r="U13" s="25" t="n"/>
      <x:c r="V13" s="25" t="n"/>
      <x:c r="W13" s="25">
        <x:f>IF(OR(AND(OR(O13="DELIVERED",O13="PARTIAL"),J13&lt;&gt;TRUE),AND(OR(E13="CASH",E13="DAY CHEQUE",E13="POST DATED CHQ"),I13&lt;&gt;TRUE),AND(OR(E13="CASH",E13="DAY CHEQUE",E13="POST DATED CHQ"),K13&lt;&gt;TRUE),AND(E13="POST DATED CHQ",ISBLANK(M13)),P13=TRUE,Q13=TRUE,AND(R13=TRUE,OR(ISBLANK(S13),ISBLANK(T13))),AND(E13="ONLINE",V13&lt;&gt;TRUE),AND(I13=TRUE,U13&lt;&gt;TRUE)),TRUE,FALSE)</x:f>
        <x:v>0</x:v>
      </x:c>
      <x:c r="X13" s="22" t="n"/>
    </x:row>
    <x:row r="14">
      <x:c r="A14" s="22" t="n"/>
      <x:c r="B14" s="22" t="n"/>
      <x:c r="C14" s="22" t="n"/>
      <x:c r="D14" s="22" t="n"/>
      <x:c r="E14" s="22" t="n"/>
      <x:c r="F14" s="23" t="n"/>
      <x:c r="G14" s="23" t="n"/>
      <x:c r="H14" s="24">
        <x:f>IF(OR(ISBLANK(F14),ISBLANK(G14)),"",G14-F14)</x:f>
      </x:c>
      <x:c r="I14" s="25" t="n"/>
      <x:c r="J14" s="25" t="n"/>
      <x:c r="K14" s="25" t="n"/>
      <x:c r="L14" s="22" t="n"/>
      <x:c r="M14" s="22" t="n"/>
      <x:c r="N14" s="22" t="n"/>
      <x:c r="O14" s="22" t="n"/>
      <x:c r="P14" s="25" t="n"/>
      <x:c r="Q14" s="25" t="n"/>
      <x:c r="R14" s="25" t="n"/>
      <x:c r="S14" s="22" t="n"/>
      <x:c r="T14" s="23" t="n"/>
      <x:c r="U14" s="25" t="n"/>
      <x:c r="V14" s="25" t="n"/>
      <x:c r="W14" s="25">
        <x:f>IF(OR(AND(OR(O14="DELIVERED",O14="PARTIAL"),J14&lt;&gt;TRUE),AND(OR(E14="CASH",E14="DAY CHEQUE",E14="POST DATED CHQ"),I14&lt;&gt;TRUE),AND(OR(E14="CASH",E14="DAY CHEQUE",E14="POST DATED CHQ"),K14&lt;&gt;TRUE),AND(E14="POST DATED CHQ",ISBLANK(M14)),P14=TRUE,Q14=TRUE,AND(R14=TRUE,OR(ISBLANK(S14),ISBLANK(T14))),AND(E14="ONLINE",V14&lt;&gt;TRUE),AND(I14=TRUE,U14&lt;&gt;TRUE)),TRUE,FALSE)</x:f>
        <x:v>0</x:v>
      </x:c>
      <x:c r="X14" s="22" t="n"/>
    </x:row>
    <x:row r="15">
      <x:c r="A15" s="22" t="n"/>
      <x:c r="B15" s="22" t="n"/>
      <x:c r="C15" s="22" t="n"/>
      <x:c r="D15" s="22" t="n"/>
      <x:c r="E15" s="22" t="n"/>
      <x:c r="F15" s="23" t="n"/>
      <x:c r="G15" s="23" t="n"/>
      <x:c r="H15" s="24">
        <x:f>IF(OR(ISBLANK(F15),ISBLANK(G15)),"",G15-F15)</x:f>
      </x:c>
      <x:c r="I15" s="25" t="n"/>
      <x:c r="J15" s="25" t="n"/>
      <x:c r="K15" s="25" t="n"/>
      <x:c r="L15" s="22" t="n"/>
      <x:c r="M15" s="22" t="n"/>
      <x:c r="N15" s="22" t="n"/>
      <x:c r="O15" s="22" t="n"/>
      <x:c r="P15" s="25" t="n"/>
      <x:c r="Q15" s="25" t="n"/>
      <x:c r="R15" s="25" t="n"/>
      <x:c r="S15" s="22" t="n"/>
      <x:c r="T15" s="23" t="n"/>
      <x:c r="U15" s="25" t="n"/>
      <x:c r="V15" s="25" t="n"/>
      <x:c r="W15" s="25">
        <x:f>IF(OR(AND(OR(O15="DELIVERED",O15="PARTIAL"),J15&lt;&gt;TRUE),AND(OR(E15="CASH",E15="DAY CHEQUE",E15="POST DATED CHQ"),I15&lt;&gt;TRUE),AND(OR(E15="CASH",E15="DAY CHEQUE",E15="POST DATED CHQ"),K15&lt;&gt;TRUE),AND(E15="POST DATED CHQ",ISBLANK(M15)),P15=TRUE,Q15=TRUE,AND(R15=TRUE,OR(ISBLANK(S15),ISBLANK(T15))),AND(E15="ONLINE",V15&lt;&gt;TRUE),AND(I15=TRUE,U15&lt;&gt;TRUE)),TRUE,FALSE)</x:f>
        <x:v>0</x:v>
      </x:c>
      <x:c r="X15" s="22" t="n"/>
    </x:row>
    <x:row r="16">
      <x:c r="A16" s="22" t="n"/>
      <x:c r="B16" s="22" t="n"/>
      <x:c r="C16" s="22" t="n"/>
      <x:c r="D16" s="22" t="n"/>
      <x:c r="E16" s="22" t="n"/>
      <x:c r="F16" s="23" t="n"/>
      <x:c r="G16" s="23" t="n"/>
      <x:c r="H16" s="24">
        <x:f>IF(OR(ISBLANK(F16),ISBLANK(G16)),"",G16-F16)</x:f>
      </x:c>
      <x:c r="I16" s="25" t="n"/>
      <x:c r="J16" s="25" t="n"/>
      <x:c r="K16" s="25" t="n"/>
      <x:c r="L16" s="22" t="n"/>
      <x:c r="M16" s="22" t="n"/>
      <x:c r="N16" s="22" t="n"/>
      <x:c r="O16" s="22" t="n"/>
      <x:c r="P16" s="25" t="n"/>
      <x:c r="Q16" s="25" t="n"/>
      <x:c r="R16" s="25" t="n"/>
      <x:c r="S16" s="22" t="n"/>
      <x:c r="T16" s="23" t="n"/>
      <x:c r="U16" s="25" t="n"/>
      <x:c r="V16" s="25" t="n"/>
      <x:c r="W16" s="25">
        <x:f>IF(OR(AND(OR(O16="DELIVERED",O16="PARTIAL"),J16&lt;&gt;TRUE),AND(OR(E16="CASH",E16="DAY CHEQUE",E16="POST DATED CHQ"),I16&lt;&gt;TRUE),AND(OR(E16="CASH",E16="DAY CHEQUE",E16="POST DATED CHQ"),K16&lt;&gt;TRUE),AND(E16="POST DATED CHQ",ISBLANK(M16)),P16=TRUE,Q16=TRUE,AND(R16=TRUE,OR(ISBLANK(S16),ISBLANK(T16))),AND(E16="ONLINE",V16&lt;&gt;TRUE),AND(I16=TRUE,U16&lt;&gt;TRUE)),TRUE,FALSE)</x:f>
        <x:v>0</x:v>
      </x:c>
      <x:c r="X16" s="22" t="n"/>
    </x:row>
    <x:row r="17">
      <x:c r="A17" s="22" t="n"/>
      <x:c r="B17" s="22" t="n"/>
      <x:c r="C17" s="22" t="n"/>
      <x:c r="D17" s="22" t="n"/>
      <x:c r="E17" s="22" t="n"/>
      <x:c r="F17" s="23" t="n"/>
      <x:c r="G17" s="23" t="n"/>
      <x:c r="H17" s="24">
        <x:f>IF(OR(ISBLANK(F17),ISBLANK(G17)),"",G17-F17)</x:f>
      </x:c>
      <x:c r="I17" s="25" t="n"/>
      <x:c r="J17" s="25" t="n"/>
      <x:c r="K17" s="25" t="n"/>
      <x:c r="L17" s="22" t="n"/>
      <x:c r="M17" s="22" t="n"/>
      <x:c r="N17" s="22" t="n"/>
      <x:c r="O17" s="22" t="n"/>
      <x:c r="P17" s="25" t="n"/>
      <x:c r="Q17" s="25" t="n"/>
      <x:c r="R17" s="25" t="n"/>
      <x:c r="S17" s="22" t="n"/>
      <x:c r="T17" s="23" t="n"/>
      <x:c r="U17" s="25" t="n"/>
      <x:c r="V17" s="25" t="n"/>
      <x:c r="W17" s="25">
        <x:f>IF(OR(AND(OR(O17="DELIVERED",O17="PARTIAL"),J17&lt;&gt;TRUE),AND(OR(E17="CASH",E17="DAY CHEQUE",E17="POST DATED CHQ"),I17&lt;&gt;TRUE),AND(OR(E17="CASH",E17="DAY CHEQUE",E17="POST DATED CHQ"),K17&lt;&gt;TRUE),AND(E17="POST DATED CHQ",ISBLANK(M17)),P17=TRUE,Q17=TRUE,AND(R17=TRUE,OR(ISBLANK(S17),ISBLANK(T17))),AND(E17="ONLINE",V17&lt;&gt;TRUE),AND(I17=TRUE,U17&lt;&gt;TRUE)),TRUE,FALSE)</x:f>
        <x:v>0</x:v>
      </x:c>
      <x:c r="X17" s="22" t="n"/>
    </x:row>
    <x:row r="18">
      <x:c r="A18" s="22" t="n"/>
      <x:c r="B18" s="22" t="n"/>
      <x:c r="C18" s="22" t="n"/>
      <x:c r="D18" s="22" t="n"/>
      <x:c r="E18" s="22" t="n"/>
      <x:c r="F18" s="23" t="n"/>
      <x:c r="G18" s="23" t="n"/>
      <x:c r="H18" s="24">
        <x:f>IF(OR(ISBLANK(F18),ISBLANK(G18)),"",G18-F18)</x:f>
      </x:c>
      <x:c r="I18" s="25" t="n"/>
      <x:c r="J18" s="25" t="n"/>
      <x:c r="K18" s="25" t="n"/>
      <x:c r="L18" s="22" t="n"/>
      <x:c r="M18" s="22" t="n"/>
      <x:c r="N18" s="22" t="n"/>
      <x:c r="O18" s="22" t="n"/>
      <x:c r="P18" s="25" t="n"/>
      <x:c r="Q18" s="25" t="n"/>
      <x:c r="R18" s="25" t="n"/>
      <x:c r="S18" s="22" t="n"/>
      <x:c r="T18" s="23" t="n"/>
      <x:c r="U18" s="25" t="n"/>
      <x:c r="V18" s="25" t="n"/>
      <x:c r="W18" s="25">
        <x:f>IF(OR(AND(OR(O18="DELIVERED",O18="PARTIAL"),J18&lt;&gt;TRUE),AND(OR(E18="CASH",E18="DAY CHEQUE",E18="POST DATED CHQ"),I18&lt;&gt;TRUE),AND(OR(E18="CASH",E18="DAY CHEQUE",E18="POST DATED CHQ"),K18&lt;&gt;TRUE),AND(E18="POST DATED CHQ",ISBLANK(M18)),P18=TRUE,Q18=TRUE,AND(R18=TRUE,OR(ISBLANK(S18),ISBLANK(T18))),AND(E18="ONLINE",V18&lt;&gt;TRUE),AND(I18=TRUE,U18&lt;&gt;TRUE)),TRUE,FALSE)</x:f>
        <x:v>0</x:v>
      </x:c>
      <x:c r="X18" s="22" t="n"/>
    </x:row>
    <x:row r="19">
      <x:c r="A19" s="22" t="n"/>
      <x:c r="B19" s="22" t="n"/>
      <x:c r="C19" s="22" t="n"/>
      <x:c r="D19" s="22" t="n"/>
      <x:c r="E19" s="22" t="n"/>
      <x:c r="F19" s="23" t="n"/>
      <x:c r="G19" s="23" t="n"/>
      <x:c r="H19" s="24">
        <x:f>IF(OR(ISBLANK(F19),ISBLANK(G19)),"",G19-F19)</x:f>
      </x:c>
      <x:c r="I19" s="25" t="n"/>
      <x:c r="J19" s="25" t="n"/>
      <x:c r="K19" s="25" t="n"/>
      <x:c r="L19" s="22" t="n"/>
      <x:c r="M19" s="22" t="n"/>
      <x:c r="N19" s="22" t="n"/>
      <x:c r="O19" s="22" t="n"/>
      <x:c r="P19" s="25" t="n"/>
      <x:c r="Q19" s="25" t="n"/>
      <x:c r="R19" s="25" t="n"/>
      <x:c r="S19" s="22" t="n"/>
      <x:c r="T19" s="23" t="n"/>
      <x:c r="U19" s="25" t="n"/>
      <x:c r="V19" s="25" t="n"/>
      <x:c r="W19" s="25">
        <x:f>IF(OR(AND(OR(O19="DELIVERED",O19="PARTIAL"),J19&lt;&gt;TRUE),AND(OR(E19="CASH",E19="DAY CHEQUE",E19="POST DATED CHQ"),I19&lt;&gt;TRUE),AND(OR(E19="CASH",E19="DAY CHEQUE",E19="POST DATED CHQ"),K19&lt;&gt;TRUE),AND(E19="POST DATED CHQ",ISBLANK(M19)),P19=TRUE,Q19=TRUE,AND(R19=TRUE,OR(ISBLANK(S19),ISBLANK(T19))),AND(E19="ONLINE",V19&lt;&gt;TRUE),AND(I19=TRUE,U19&lt;&gt;TRUE)),TRUE,FALSE)</x:f>
        <x:v>0</x:v>
      </x:c>
      <x:c r="X19" s="22" t="n"/>
    </x:row>
    <x:row r="20">
      <x:c r="A20" s="22" t="n"/>
      <x:c r="B20" s="22" t="n"/>
      <x:c r="C20" s="22" t="n"/>
      <x:c r="D20" s="22" t="n"/>
      <x:c r="E20" s="22" t="n"/>
      <x:c r="F20" s="23" t="n"/>
      <x:c r="G20" s="23" t="n"/>
      <x:c r="H20" s="24">
        <x:f>IF(OR(ISBLANK(F20),ISBLANK(G20)),"",G20-F20)</x:f>
      </x:c>
      <x:c r="I20" s="25" t="n"/>
      <x:c r="J20" s="25" t="n"/>
      <x:c r="K20" s="25" t="n"/>
      <x:c r="L20" s="22" t="n"/>
      <x:c r="M20" s="22" t="n"/>
      <x:c r="N20" s="22" t="n"/>
      <x:c r="O20" s="22" t="n"/>
      <x:c r="P20" s="25" t="n"/>
      <x:c r="Q20" s="25" t="n"/>
      <x:c r="R20" s="25" t="n"/>
      <x:c r="S20" s="22" t="n"/>
      <x:c r="T20" s="23" t="n"/>
      <x:c r="U20" s="25" t="n"/>
      <x:c r="V20" s="25" t="n"/>
      <x:c r="W20" s="25">
        <x:f>IF(OR(AND(OR(O20="DELIVERED",O20="PARTIAL"),J20&lt;&gt;TRUE),AND(OR(E20="CASH",E20="DAY CHEQUE",E20="POST DATED CHQ"),I20&lt;&gt;TRUE),AND(OR(E20="CASH",E20="DAY CHEQUE",E20="POST DATED CHQ"),K20&lt;&gt;TRUE),AND(E20="POST DATED CHQ",ISBLANK(M20)),P20=TRUE,Q20=TRUE,AND(R20=TRUE,OR(ISBLANK(S20),ISBLANK(T20))),AND(E20="ONLINE",V20&lt;&gt;TRUE),AND(I20=TRUE,U20&lt;&gt;TRUE)),TRUE,FALSE)</x:f>
        <x:v>0</x:v>
      </x:c>
      <x:c r="X20" s="22" t="n"/>
    </x:row>
    <x:row r="21">
      <x:c r="A21" s="22" t="n"/>
      <x:c r="B21" s="22" t="n"/>
      <x:c r="C21" s="22" t="n"/>
      <x:c r="D21" s="22" t="n"/>
      <x:c r="E21" s="22" t="n"/>
      <x:c r="F21" s="23" t="n"/>
      <x:c r="G21" s="23" t="n"/>
      <x:c r="H21" s="24">
        <x:f>IF(OR(ISBLANK(F21),ISBLANK(G21)),"",G21-F21)</x:f>
      </x:c>
      <x:c r="I21" s="25" t="n"/>
      <x:c r="J21" s="25" t="n"/>
      <x:c r="K21" s="25" t="n"/>
      <x:c r="L21" s="22" t="n"/>
      <x:c r="M21" s="22" t="n"/>
      <x:c r="N21" s="22" t="n"/>
      <x:c r="O21" s="22" t="n"/>
      <x:c r="P21" s="25" t="n"/>
      <x:c r="Q21" s="25" t="n"/>
      <x:c r="R21" s="25" t="n"/>
      <x:c r="S21" s="22" t="n"/>
      <x:c r="T21" s="23" t="n"/>
      <x:c r="U21" s="25" t="n"/>
      <x:c r="V21" s="25" t="n"/>
      <x:c r="W21" s="25">
        <x:f>IF(OR(AND(OR(O21="DELIVERED",O21="PARTIAL"),J21&lt;&gt;TRUE),AND(OR(E21="CASH",E21="DAY CHEQUE",E21="POST DATED CHQ"),I21&lt;&gt;TRUE),AND(OR(E21="CASH",E21="DAY CHEQUE",E21="POST DATED CHQ"),K21&lt;&gt;TRUE),AND(E21="POST DATED CHQ",ISBLANK(M21)),P21=TRUE,Q21=TRUE,AND(R21=TRUE,OR(ISBLANK(S21),ISBLANK(T21))),AND(E21="ONLINE",V21&lt;&gt;TRUE),AND(I21=TRUE,U21&lt;&gt;TRUE)),TRUE,FALSE)</x:f>
        <x:v>0</x:v>
      </x:c>
      <x:c r="X21" s="22" t="n"/>
    </x:row>
    <x:row r="22">
      <x:c r="A22" s="22" t="n"/>
      <x:c r="B22" s="22" t="n"/>
      <x:c r="C22" s="22" t="n"/>
      <x:c r="D22" s="22" t="n"/>
      <x:c r="E22" s="22" t="n"/>
      <x:c r="F22" s="23" t="n"/>
      <x:c r="G22" s="23" t="n"/>
      <x:c r="H22" s="24">
        <x:f>IF(OR(ISBLANK(F22),ISBLANK(G22)),"",G22-F22)</x:f>
      </x:c>
      <x:c r="I22" s="25" t="n"/>
      <x:c r="J22" s="25" t="n"/>
      <x:c r="K22" s="25" t="n"/>
      <x:c r="L22" s="22" t="n"/>
      <x:c r="M22" s="22" t="n"/>
      <x:c r="N22" s="22" t="n"/>
      <x:c r="O22" s="22" t="n"/>
      <x:c r="P22" s="25" t="n"/>
      <x:c r="Q22" s="25" t="n"/>
      <x:c r="R22" s="25" t="n"/>
      <x:c r="S22" s="22" t="n"/>
      <x:c r="T22" s="23" t="n"/>
      <x:c r="U22" s="25" t="n"/>
      <x:c r="V22" s="25" t="n"/>
      <x:c r="W22" s="25">
        <x:f>IF(OR(AND(OR(O22="DELIVERED",O22="PARTIAL"),J22&lt;&gt;TRUE),AND(OR(E22="CASH",E22="DAY CHEQUE",E22="POST DATED CHQ"),I22&lt;&gt;TRUE),AND(OR(E22="CASH",E22="DAY CHEQUE",E22="POST DATED CHQ"),K22&lt;&gt;TRUE),AND(E22="POST DATED CHQ",ISBLANK(M22)),P22=TRUE,Q22=TRUE,AND(R22=TRUE,OR(ISBLANK(S22),ISBLANK(T22))),AND(E22="ONLINE",V22&lt;&gt;TRUE),AND(I22=TRUE,U22&lt;&gt;TRUE)),TRUE,FALSE)</x:f>
        <x:v>0</x:v>
      </x:c>
      <x:c r="X22" s="22" t="n"/>
    </x:row>
    <x:row r="23">
      <x:c r="A23" s="22" t="n"/>
      <x:c r="B23" s="22" t="n"/>
      <x:c r="C23" s="22" t="n"/>
      <x:c r="D23" s="22" t="n"/>
      <x:c r="E23" s="22" t="n"/>
      <x:c r="F23" s="23" t="n"/>
      <x:c r="G23" s="23" t="n"/>
      <x:c r="H23" s="24">
        <x:f>IF(OR(ISBLANK(F23),ISBLANK(G23)),"",G23-F23)</x:f>
      </x:c>
      <x:c r="I23" s="25" t="n"/>
      <x:c r="J23" s="25" t="n"/>
      <x:c r="K23" s="25" t="n"/>
      <x:c r="L23" s="22" t="n"/>
      <x:c r="M23" s="22" t="n"/>
      <x:c r="N23" s="22" t="n"/>
      <x:c r="O23" s="22" t="n"/>
      <x:c r="P23" s="25" t="n"/>
      <x:c r="Q23" s="25" t="n"/>
      <x:c r="R23" s="25" t="n"/>
      <x:c r="S23" s="22" t="n"/>
      <x:c r="T23" s="23" t="n"/>
      <x:c r="U23" s="25" t="n"/>
      <x:c r="V23" s="25" t="n"/>
      <x:c r="W23" s="25">
        <x:f>IF(OR(AND(OR(O23="DELIVERED",O23="PARTIAL"),J23&lt;&gt;TRUE),AND(OR(E23="CASH",E23="DAY CHEQUE",E23="POST DATED CHQ"),I23&lt;&gt;TRUE),AND(OR(E23="CASH",E23="DAY CHEQUE",E23="POST DATED CHQ"),K23&lt;&gt;TRUE),AND(E23="POST DATED CHQ",ISBLANK(M23)),P23=TRUE,Q23=TRUE,AND(R23=TRUE,OR(ISBLANK(S23),ISBLANK(T23))),AND(E23="ONLINE",V23&lt;&gt;TRUE),AND(I23=TRUE,U23&lt;&gt;TRUE)),TRUE,FALSE)</x:f>
        <x:v>0</x:v>
      </x:c>
      <x:c r="X23" s="22" t="n"/>
    </x:row>
    <x:row r="24">
      <x:c r="A24" s="22" t="n"/>
      <x:c r="B24" s="22" t="n"/>
      <x:c r="C24" s="22" t="n"/>
      <x:c r="D24" s="22" t="n"/>
      <x:c r="E24" s="22" t="n"/>
      <x:c r="F24" s="23" t="n"/>
      <x:c r="G24" s="23" t="n"/>
      <x:c r="H24" s="24">
        <x:f>IF(OR(ISBLANK(F24),ISBLANK(G24)),"",G24-F24)</x:f>
      </x:c>
      <x:c r="I24" s="25" t="n"/>
      <x:c r="J24" s="25" t="n"/>
      <x:c r="K24" s="25" t="n"/>
      <x:c r="L24" s="22" t="n"/>
      <x:c r="M24" s="22" t="n"/>
      <x:c r="N24" s="22" t="n"/>
      <x:c r="O24" s="22" t="n"/>
      <x:c r="P24" s="25" t="n"/>
      <x:c r="Q24" s="25" t="n"/>
      <x:c r="R24" s="25" t="n"/>
      <x:c r="S24" s="22" t="n"/>
      <x:c r="T24" s="23" t="n"/>
      <x:c r="U24" s="25" t="n"/>
      <x:c r="V24" s="25" t="n"/>
      <x:c r="W24" s="25">
        <x:f>IF(OR(AND(OR(O24="DELIVERED",O24="PARTIAL"),J24&lt;&gt;TRUE),AND(OR(E24="CASH",E24="DAY CHEQUE",E24="POST DATED CHQ"),I24&lt;&gt;TRUE),AND(OR(E24="CASH",E24="DAY CHEQUE",E24="POST DATED CHQ"),K24&lt;&gt;TRUE),AND(E24="POST DATED CHQ",ISBLANK(M24)),P24=TRUE,Q24=TRUE,AND(R24=TRUE,OR(ISBLANK(S24),ISBLANK(T24))),AND(E24="ONLINE",V24&lt;&gt;TRUE),AND(I24=TRUE,U24&lt;&gt;TRUE)),TRUE,FALSE)</x:f>
        <x:v>0</x:v>
      </x:c>
      <x:c r="X24" s="22" t="n"/>
    </x:row>
    <x:row r="25">
      <x:c r="A25" s="22" t="n"/>
      <x:c r="B25" s="22" t="n"/>
      <x:c r="C25" s="22" t="n"/>
      <x:c r="D25" s="22" t="n"/>
      <x:c r="E25" s="22" t="n"/>
      <x:c r="F25" s="23" t="n"/>
      <x:c r="G25" s="23" t="n"/>
      <x:c r="H25" s="24">
        <x:f>IF(OR(ISBLANK(F25),ISBLANK(G25)),"",G25-F25)</x:f>
      </x:c>
      <x:c r="I25" s="25" t="n"/>
      <x:c r="J25" s="25" t="n"/>
      <x:c r="K25" s="25" t="n"/>
      <x:c r="L25" s="22" t="n"/>
      <x:c r="M25" s="22" t="n"/>
      <x:c r="N25" s="22" t="n"/>
      <x:c r="O25" s="22" t="n"/>
      <x:c r="P25" s="25" t="n"/>
      <x:c r="Q25" s="25" t="n"/>
      <x:c r="R25" s="25" t="n"/>
      <x:c r="S25" s="22" t="n"/>
      <x:c r="T25" s="23" t="n"/>
      <x:c r="U25" s="25" t="n"/>
      <x:c r="V25" s="25" t="n"/>
      <x:c r="W25" s="25">
        <x:f>IF(OR(AND(OR(O25="DELIVERED",O25="PARTIAL"),J25&lt;&gt;TRUE),AND(OR(E25="CASH",E25="DAY CHEQUE",E25="POST DATED CHQ"),I25&lt;&gt;TRUE),AND(OR(E25="CASH",E25="DAY CHEQUE",E25="POST DATED CHQ"),K25&lt;&gt;TRUE),AND(E25="POST DATED CHQ",ISBLANK(M25)),P25=TRUE,Q25=TRUE,AND(R25=TRUE,OR(ISBLANK(S25),ISBLANK(T25))),AND(E25="ONLINE",V25&lt;&gt;TRUE),AND(I25=TRUE,U25&lt;&gt;TRUE)),TRUE,FALSE)</x:f>
        <x:v>0</x:v>
      </x:c>
      <x:c r="X25" s="22" t="n"/>
    </x:row>
    <x:row r="26">
      <x:c r="A26" s="22" t="n"/>
      <x:c r="B26" s="22" t="n"/>
      <x:c r="C26" s="22" t="n"/>
      <x:c r="D26" s="22" t="n"/>
      <x:c r="E26" s="22" t="n"/>
      <x:c r="F26" s="23" t="n"/>
      <x:c r="G26" s="23" t="n"/>
      <x:c r="H26" s="24">
        <x:f>IF(OR(ISBLANK(F26),ISBLANK(G26)),"",G26-F26)</x:f>
      </x:c>
      <x:c r="I26" s="25" t="n"/>
      <x:c r="J26" s="25" t="n"/>
      <x:c r="K26" s="25" t="n"/>
      <x:c r="L26" s="22" t="n"/>
      <x:c r="M26" s="22" t="n"/>
      <x:c r="N26" s="22" t="n"/>
      <x:c r="O26" s="22" t="n"/>
      <x:c r="P26" s="25" t="n"/>
      <x:c r="Q26" s="25" t="n"/>
      <x:c r="R26" s="25" t="n"/>
      <x:c r="S26" s="22" t="n"/>
      <x:c r="T26" s="23" t="n"/>
      <x:c r="U26" s="25" t="n"/>
      <x:c r="V26" s="25" t="n"/>
      <x:c r="W26" s="25">
        <x:f>IF(OR(AND(OR(O26="DELIVERED",O26="PARTIAL"),J26&lt;&gt;TRUE),AND(OR(E26="CASH",E26="DAY CHEQUE",E26="POST DATED CHQ"),I26&lt;&gt;TRUE),AND(OR(E26="CASH",E26="DAY CHEQUE",E26="POST DATED CHQ"),K26&lt;&gt;TRUE),AND(E26="POST DATED CHQ",ISBLANK(M26)),P26=TRUE,Q26=TRUE,AND(R26=TRUE,OR(ISBLANK(S26),ISBLANK(T26))),AND(E26="ONLINE",V26&lt;&gt;TRUE),AND(I26=TRUE,U26&lt;&gt;TRUE)),TRUE,FALSE)</x:f>
        <x:v>0</x:v>
      </x:c>
      <x:c r="X26" s="22" t="n"/>
    </x:row>
    <x:row r="27">
      <x:c r="A27" s="22" t="n"/>
      <x:c r="B27" s="22" t="n"/>
      <x:c r="C27" s="22" t="n"/>
      <x:c r="D27" s="22" t="n"/>
      <x:c r="E27" s="22" t="n"/>
      <x:c r="F27" s="23" t="n"/>
      <x:c r="G27" s="23" t="n"/>
      <x:c r="H27" s="24">
        <x:f>IF(OR(ISBLANK(F27),ISBLANK(G27)),"",G27-F27)</x:f>
      </x:c>
      <x:c r="I27" s="25" t="n"/>
      <x:c r="J27" s="25" t="n"/>
      <x:c r="K27" s="25" t="n"/>
      <x:c r="L27" s="22" t="n"/>
      <x:c r="M27" s="22" t="n"/>
      <x:c r="N27" s="22" t="n"/>
      <x:c r="O27" s="22" t="n"/>
      <x:c r="P27" s="25" t="n"/>
      <x:c r="Q27" s="25" t="n"/>
      <x:c r="R27" s="25" t="n"/>
      <x:c r="S27" s="22" t="n"/>
      <x:c r="T27" s="23" t="n"/>
      <x:c r="U27" s="25" t="n"/>
      <x:c r="V27" s="25" t="n"/>
      <x:c r="W27" s="25">
        <x:f>IF(OR(AND(OR(O27="DELIVERED",O27="PARTIAL"),J27&lt;&gt;TRUE),AND(OR(E27="CASH",E27="DAY CHEQUE",E27="POST DATED CHQ"),I27&lt;&gt;TRUE),AND(OR(E27="CASH",E27="DAY CHEQUE",E27="POST DATED CHQ"),K27&lt;&gt;TRUE),AND(E27="POST DATED CHQ",ISBLANK(M27)),P27=TRUE,Q27=TRUE,AND(R27=TRUE,OR(ISBLANK(S27),ISBLANK(T27))),AND(E27="ONLINE",V27&lt;&gt;TRUE),AND(I27=TRUE,U27&lt;&gt;TRUE)),TRUE,FALSE)</x:f>
        <x:v>0</x:v>
      </x:c>
      <x:c r="X27" s="22" t="n"/>
    </x:row>
    <x:row r="28">
      <x:c r="A28" s="22" t="n"/>
      <x:c r="B28" s="22" t="n"/>
      <x:c r="C28" s="22" t="n"/>
      <x:c r="D28" s="22" t="n"/>
      <x:c r="E28" s="22" t="n"/>
      <x:c r="F28" s="23" t="n"/>
      <x:c r="G28" s="23" t="n"/>
      <x:c r="H28" s="24">
        <x:f>IF(OR(ISBLANK(F28),ISBLANK(G28)),"",G28-F28)</x:f>
      </x:c>
      <x:c r="I28" s="25" t="n"/>
      <x:c r="J28" s="25" t="n"/>
      <x:c r="K28" s="25" t="n"/>
      <x:c r="L28" s="22" t="n"/>
      <x:c r="M28" s="22" t="n"/>
      <x:c r="N28" s="22" t="n"/>
      <x:c r="O28" s="22" t="n"/>
      <x:c r="P28" s="25" t="n"/>
      <x:c r="Q28" s="25" t="n"/>
      <x:c r="R28" s="25" t="n"/>
      <x:c r="S28" s="22" t="n"/>
      <x:c r="T28" s="23" t="n"/>
      <x:c r="U28" s="25" t="n"/>
      <x:c r="V28" s="25" t="n"/>
      <x:c r="W28" s="25">
        <x:f>IF(OR(AND(OR(O28="DELIVERED",O28="PARTIAL"),J28&lt;&gt;TRUE),AND(OR(E28="CASH",E28="DAY CHEQUE",E28="POST DATED CHQ"),I28&lt;&gt;TRUE),AND(OR(E28="CASH",E28="DAY CHEQUE",E28="POST DATED CHQ"),K28&lt;&gt;TRUE),AND(E28="POST DATED CHQ",ISBLANK(M28)),P28=TRUE,Q28=TRUE,AND(R28=TRUE,OR(ISBLANK(S28),ISBLANK(T28))),AND(E28="ONLINE",V28&lt;&gt;TRUE),AND(I28=TRUE,U28&lt;&gt;TRUE)),TRUE,FALSE)</x:f>
        <x:v>0</x:v>
      </x:c>
      <x:c r="X28" s="22" t="n"/>
    </x:row>
    <x:row r="29">
      <x:c r="A29" s="22" t="n"/>
      <x:c r="B29" s="22" t="n"/>
      <x:c r="C29" s="22" t="n"/>
      <x:c r="D29" s="22" t="n"/>
      <x:c r="E29" s="22" t="n"/>
      <x:c r="F29" s="23" t="n"/>
      <x:c r="G29" s="23" t="n"/>
      <x:c r="H29" s="24">
        <x:f>IF(OR(ISBLANK(F29),ISBLANK(G29)),"",G29-F29)</x:f>
      </x:c>
      <x:c r="I29" s="25" t="n"/>
      <x:c r="J29" s="25" t="n"/>
      <x:c r="K29" s="25" t="n"/>
      <x:c r="L29" s="22" t="n"/>
      <x:c r="M29" s="22" t="n"/>
      <x:c r="N29" s="22" t="n"/>
      <x:c r="O29" s="22" t="n"/>
      <x:c r="P29" s="25" t="n"/>
      <x:c r="Q29" s="25" t="n"/>
      <x:c r="R29" s="25" t="n"/>
      <x:c r="S29" s="22" t="n"/>
      <x:c r="T29" s="23" t="n"/>
      <x:c r="U29" s="25" t="n"/>
      <x:c r="V29" s="25" t="n"/>
      <x:c r="W29" s="25">
        <x:f>IF(OR(AND(OR(O29="DELIVERED",O29="PARTIAL"),J29&lt;&gt;TRUE),AND(OR(E29="CASH",E29="DAY CHEQUE",E29="POST DATED CHQ"),I29&lt;&gt;TRUE),AND(OR(E29="CASH",E29="DAY CHEQUE",E29="POST DATED CHQ"),K29&lt;&gt;TRUE),AND(E29="POST DATED CHQ",ISBLANK(M29)),P29=TRUE,Q29=TRUE,AND(R29=TRUE,OR(ISBLANK(S29),ISBLANK(T29))),AND(E29="ONLINE",V29&lt;&gt;TRUE),AND(I29=TRUE,U29&lt;&gt;TRUE)),TRUE,FALSE)</x:f>
        <x:v>0</x:v>
      </x:c>
      <x:c r="X29" s="22" t="n"/>
    </x:row>
    <x:row r="30">
      <x:c r="A30" s="22" t="n"/>
      <x:c r="B30" s="22" t="n"/>
      <x:c r="C30" s="22" t="n"/>
      <x:c r="D30" s="22" t="n"/>
      <x:c r="E30" s="22" t="n"/>
      <x:c r="F30" s="23" t="n"/>
      <x:c r="G30" s="23" t="n"/>
      <x:c r="H30" s="24">
        <x:f>IF(OR(ISBLANK(F30),ISBLANK(G30)),"",G30-F30)</x:f>
      </x:c>
      <x:c r="I30" s="25" t="n"/>
      <x:c r="J30" s="25" t="n"/>
      <x:c r="K30" s="25" t="n"/>
      <x:c r="L30" s="22" t="n"/>
      <x:c r="M30" s="22" t="n"/>
      <x:c r="N30" s="22" t="n"/>
      <x:c r="O30" s="22" t="n"/>
      <x:c r="P30" s="25" t="n"/>
      <x:c r="Q30" s="25" t="n"/>
      <x:c r="R30" s="25" t="n"/>
      <x:c r="S30" s="22" t="n"/>
      <x:c r="T30" s="23" t="n"/>
      <x:c r="U30" s="25" t="n"/>
      <x:c r="V30" s="25" t="n"/>
      <x:c r="W30" s="25">
        <x:f>IF(OR(AND(OR(O30="DELIVERED",O30="PARTIAL"),J30&lt;&gt;TRUE),AND(OR(E30="CASH",E30="DAY CHEQUE",E30="POST DATED CHQ"),I30&lt;&gt;TRUE),AND(OR(E30="CASH",E30="DAY CHEQUE",E30="POST DATED CHQ"),K30&lt;&gt;TRUE),AND(E30="POST DATED CHQ",ISBLANK(M30)),P30=TRUE,Q30=TRUE,AND(R30=TRUE,OR(ISBLANK(S30),ISBLANK(T30))),AND(E30="ONLINE",V30&lt;&gt;TRUE),AND(I30=TRUE,U30&lt;&gt;TRUE)),TRUE,FALSE)</x:f>
        <x:v>0</x:v>
      </x:c>
      <x:c r="X30" s="22" t="n"/>
    </x:row>
    <x:row r="31">
      <x:c r="A31" s="22" t="n"/>
      <x:c r="B31" s="22" t="n"/>
      <x:c r="C31" s="22" t="n"/>
      <x:c r="D31" s="22" t="n"/>
      <x:c r="E31" s="22" t="n"/>
      <x:c r="F31" s="23" t="n"/>
      <x:c r="G31" s="23" t="n"/>
      <x:c r="H31" s="24">
        <x:f>IF(OR(ISBLANK(F31),ISBLANK(G31)),"",G31-F31)</x:f>
      </x:c>
      <x:c r="I31" s="25" t="n"/>
      <x:c r="J31" s="25" t="n"/>
      <x:c r="K31" s="25" t="n"/>
      <x:c r="L31" s="22" t="n"/>
      <x:c r="M31" s="22" t="n"/>
      <x:c r="N31" s="22" t="n"/>
      <x:c r="O31" s="22" t="n"/>
      <x:c r="P31" s="25" t="n"/>
      <x:c r="Q31" s="25" t="n"/>
      <x:c r="R31" s="25" t="n"/>
      <x:c r="S31" s="22" t="n"/>
      <x:c r="T31" s="23" t="n"/>
      <x:c r="U31" s="25" t="n"/>
      <x:c r="V31" s="25" t="n"/>
      <x:c r="W31" s="25">
        <x:f>IF(OR(AND(OR(O31="DELIVERED",O31="PARTIAL"),J31&lt;&gt;TRUE),AND(OR(E31="CASH",E31="DAY CHEQUE",E31="POST DATED CHQ"),I31&lt;&gt;TRUE),AND(OR(E31="CASH",E31="DAY CHEQUE",E31="POST DATED CHQ"),K31&lt;&gt;TRUE),AND(E31="POST DATED CHQ",ISBLANK(M31)),P31=TRUE,Q31=TRUE,AND(R31=TRUE,OR(ISBLANK(S31),ISBLANK(T31))),AND(E31="ONLINE",V31&lt;&gt;TRUE),AND(I31=TRUE,U31&lt;&gt;TRUE)),TRUE,FALSE)</x:f>
        <x:v>0</x:v>
      </x:c>
      <x:c r="X31" s="22" t="n"/>
    </x:row>
    <x:row r="32">
      <x:c r="A32" s="22" t="n"/>
      <x:c r="B32" s="22" t="n"/>
      <x:c r="C32" s="22" t="n"/>
      <x:c r="D32" s="22" t="n"/>
      <x:c r="E32" s="22" t="n"/>
      <x:c r="F32" s="23" t="n"/>
      <x:c r="G32" s="23" t="n"/>
      <x:c r="H32" s="24">
        <x:f>IF(OR(ISBLANK(F32),ISBLANK(G32)),"",G32-F32)</x:f>
      </x:c>
      <x:c r="I32" s="25" t="n"/>
      <x:c r="J32" s="25" t="n"/>
      <x:c r="K32" s="25" t="n"/>
      <x:c r="L32" s="22" t="n"/>
      <x:c r="M32" s="22" t="n"/>
      <x:c r="N32" s="22" t="n"/>
      <x:c r="O32" s="22" t="n"/>
      <x:c r="P32" s="25" t="n"/>
      <x:c r="Q32" s="25" t="n"/>
      <x:c r="R32" s="25" t="n"/>
      <x:c r="S32" s="22" t="n"/>
      <x:c r="T32" s="23" t="n"/>
      <x:c r="U32" s="25" t="n"/>
      <x:c r="V32" s="25" t="n"/>
      <x:c r="W32" s="25">
        <x:f>IF(OR(AND(OR(O32="DELIVERED",O32="PARTIAL"),J32&lt;&gt;TRUE),AND(OR(E32="CASH",E32="DAY CHEQUE",E32="POST DATED CHQ"),I32&lt;&gt;TRUE),AND(OR(E32="CASH",E32="DAY CHEQUE",E32="POST DATED CHQ"),K32&lt;&gt;TRUE),AND(E32="POST DATED CHQ",ISBLANK(M32)),P32=TRUE,Q32=TRUE,AND(R32=TRUE,OR(ISBLANK(S32),ISBLANK(T32))),AND(E32="ONLINE",V32&lt;&gt;TRUE),AND(I32=TRUE,U32&lt;&gt;TRUE)),TRUE,FALSE)</x:f>
        <x:v>0</x:v>
      </x:c>
      <x:c r="X32" s="22" t="n"/>
    </x:row>
    <x:row r="33">
      <x:c r="A33" s="22" t="n"/>
      <x:c r="B33" s="22" t="n"/>
      <x:c r="C33" s="22" t="n"/>
      <x:c r="D33" s="22" t="n"/>
      <x:c r="E33" s="22" t="n"/>
      <x:c r="F33" s="23" t="n"/>
      <x:c r="G33" s="23" t="n"/>
      <x:c r="H33" s="24">
        <x:f>IF(OR(ISBLANK(F33),ISBLANK(G33)),"",G33-F33)</x:f>
      </x:c>
      <x:c r="I33" s="25" t="n"/>
      <x:c r="J33" s="25" t="n"/>
      <x:c r="K33" s="25" t="n"/>
      <x:c r="L33" s="22" t="n"/>
      <x:c r="M33" s="22" t="n"/>
      <x:c r="N33" s="22" t="n"/>
      <x:c r="O33" s="22" t="n"/>
      <x:c r="P33" s="25" t="n"/>
      <x:c r="Q33" s="25" t="n"/>
      <x:c r="R33" s="25" t="n"/>
      <x:c r="S33" s="22" t="n"/>
      <x:c r="T33" s="23" t="n"/>
      <x:c r="U33" s="25" t="n"/>
      <x:c r="V33" s="25" t="n"/>
      <x:c r="W33" s="25">
        <x:f>IF(OR(AND(OR(O33="DELIVERED",O33="PARTIAL"),J33&lt;&gt;TRUE),AND(OR(E33="CASH",E33="DAY CHEQUE",E33="POST DATED CHQ"),I33&lt;&gt;TRUE),AND(OR(E33="CASH",E33="DAY CHEQUE",E33="POST DATED CHQ"),K33&lt;&gt;TRUE),AND(E33="POST DATED CHQ",ISBLANK(M33)),P33=TRUE,Q33=TRUE,AND(R33=TRUE,OR(ISBLANK(S33),ISBLANK(T33))),AND(E33="ONLINE",V33&lt;&gt;TRUE),AND(I33=TRUE,U33&lt;&gt;TRUE)),TRUE,FALSE)</x:f>
        <x:v>0</x:v>
      </x:c>
      <x:c r="X33" s="22" t="n"/>
    </x:row>
    <x:row r="34">
      <x:c r="A34" s="22" t="n"/>
      <x:c r="B34" s="22" t="n"/>
      <x:c r="C34" s="22" t="n"/>
      <x:c r="D34" s="22" t="n"/>
      <x:c r="E34" s="22" t="n"/>
      <x:c r="F34" s="23" t="n"/>
      <x:c r="G34" s="23" t="n"/>
      <x:c r="H34" s="24">
        <x:f>IF(OR(ISBLANK(F34),ISBLANK(G34)),"",G34-F34)</x:f>
      </x:c>
      <x:c r="I34" s="25" t="n"/>
      <x:c r="J34" s="25" t="n"/>
      <x:c r="K34" s="25" t="n"/>
      <x:c r="L34" s="22" t="n"/>
      <x:c r="M34" s="22" t="n"/>
      <x:c r="N34" s="22" t="n"/>
      <x:c r="O34" s="22" t="n"/>
      <x:c r="P34" s="25" t="n"/>
      <x:c r="Q34" s="25" t="n"/>
      <x:c r="R34" s="25" t="n"/>
      <x:c r="S34" s="22" t="n"/>
      <x:c r="T34" s="23" t="n"/>
      <x:c r="U34" s="25" t="n"/>
      <x:c r="V34" s="25" t="n"/>
      <x:c r="W34" s="25">
        <x:f>IF(OR(AND(OR(O34="DELIVERED",O34="PARTIAL"),J34&lt;&gt;TRUE),AND(OR(E34="CASH",E34="DAY CHEQUE",E34="POST DATED CHQ"),I34&lt;&gt;TRUE),AND(OR(E34="CASH",E34="DAY CHEQUE",E34="POST DATED CHQ"),K34&lt;&gt;TRUE),AND(E34="POST DATED CHQ",ISBLANK(M34)),P34=TRUE,Q34=TRUE,AND(R34=TRUE,OR(ISBLANK(S34),ISBLANK(T34))),AND(E34="ONLINE",V34&lt;&gt;TRUE),AND(I34=TRUE,U34&lt;&gt;TRUE)),TRUE,FALSE)</x:f>
        <x:v>0</x:v>
      </x:c>
      <x:c r="X34" s="22" t="n"/>
    </x:row>
    <x:row r="35">
      <x:c r="A35" s="22" t="n"/>
      <x:c r="B35" s="22" t="n"/>
      <x:c r="C35" s="22" t="n"/>
      <x:c r="D35" s="22" t="n"/>
      <x:c r="E35" s="22" t="n"/>
      <x:c r="F35" s="23" t="n"/>
      <x:c r="G35" s="23" t="n"/>
      <x:c r="H35" s="24">
        <x:f>IF(OR(ISBLANK(F35),ISBLANK(G35)),"",G35-F35)</x:f>
      </x:c>
      <x:c r="I35" s="25" t="n"/>
      <x:c r="J35" s="25" t="n"/>
      <x:c r="K35" s="25" t="n"/>
      <x:c r="L35" s="22" t="n"/>
      <x:c r="M35" s="22" t="n"/>
      <x:c r="N35" s="22" t="n"/>
      <x:c r="O35" s="22" t="n"/>
      <x:c r="P35" s="25" t="n"/>
      <x:c r="Q35" s="25" t="n"/>
      <x:c r="R35" s="25" t="n"/>
      <x:c r="S35" s="22" t="n"/>
      <x:c r="T35" s="23" t="n"/>
      <x:c r="U35" s="25" t="n"/>
      <x:c r="V35" s="25" t="n"/>
      <x:c r="W35" s="25">
        <x:f>IF(OR(AND(OR(O35="DELIVERED",O35="PARTIAL"),J35&lt;&gt;TRUE),AND(OR(E35="CASH",E35="DAY CHEQUE",E35="POST DATED CHQ"),I35&lt;&gt;TRUE),AND(OR(E35="CASH",E35="DAY CHEQUE",E35="POST DATED CHQ"),K35&lt;&gt;TRUE),AND(E35="POST DATED CHQ",ISBLANK(M35)),P35=TRUE,Q35=TRUE,AND(R35=TRUE,OR(ISBLANK(S35),ISBLANK(T35))),AND(E35="ONLINE",V35&lt;&gt;TRUE),AND(I35=TRUE,U35&lt;&gt;TRUE)),TRUE,FALSE)</x:f>
        <x:v>0</x:v>
      </x:c>
      <x:c r="X35" s="22" t="n"/>
    </x:row>
    <x:row r="36">
      <x:c r="A36" s="22" t="n"/>
      <x:c r="B36" s="22" t="n"/>
      <x:c r="C36" s="22" t="n"/>
      <x:c r="D36" s="22" t="n"/>
      <x:c r="E36" s="22" t="n"/>
      <x:c r="F36" s="23" t="n"/>
      <x:c r="G36" s="23" t="n"/>
      <x:c r="H36" s="24">
        <x:f>IF(OR(ISBLANK(F36),ISBLANK(G36)),"",G36-F36)</x:f>
      </x:c>
      <x:c r="I36" s="25" t="n"/>
      <x:c r="J36" s="25" t="n"/>
      <x:c r="K36" s="25" t="n"/>
      <x:c r="L36" s="22" t="n"/>
      <x:c r="M36" s="22" t="n"/>
      <x:c r="N36" s="22" t="n"/>
      <x:c r="O36" s="22" t="n"/>
      <x:c r="P36" s="25" t="n"/>
      <x:c r="Q36" s="25" t="n"/>
      <x:c r="R36" s="25" t="n"/>
      <x:c r="S36" s="22" t="n"/>
      <x:c r="T36" s="23" t="n"/>
      <x:c r="U36" s="25" t="n"/>
      <x:c r="V36" s="25" t="n"/>
      <x:c r="W36" s="25">
        <x:f>IF(OR(AND(OR(O36="DELIVERED",O36="PARTIAL"),J36&lt;&gt;TRUE),AND(OR(E36="CASH",E36="DAY CHEQUE",E36="POST DATED CHQ"),I36&lt;&gt;TRUE),AND(OR(E36="CASH",E36="DAY CHEQUE",E36="POST DATED CHQ"),K36&lt;&gt;TRUE),AND(E36="POST DATED CHQ",ISBLANK(M36)),P36=TRUE,Q36=TRUE,AND(R36=TRUE,OR(ISBLANK(S36),ISBLANK(T36))),AND(E36="ONLINE",V36&lt;&gt;TRUE),AND(I36=TRUE,U36&lt;&gt;TRUE)),TRUE,FALSE)</x:f>
        <x:v>0</x:v>
      </x:c>
      <x:c r="X36" s="22" t="n"/>
    </x:row>
    <x:row r="37">
      <x:c r="A37" s="22" t="n"/>
      <x:c r="B37" s="22" t="n"/>
      <x:c r="C37" s="22" t="n"/>
      <x:c r="D37" s="22" t="n"/>
      <x:c r="E37" s="22" t="n"/>
      <x:c r="F37" s="23" t="n"/>
      <x:c r="G37" s="23" t="n"/>
      <x:c r="H37" s="24">
        <x:f>IF(OR(ISBLANK(F37),ISBLANK(G37)),"",G37-F37)</x:f>
      </x:c>
      <x:c r="I37" s="25" t="n"/>
      <x:c r="J37" s="25" t="n"/>
      <x:c r="K37" s="25" t="n"/>
      <x:c r="L37" s="22" t="n"/>
      <x:c r="M37" s="22" t="n"/>
      <x:c r="N37" s="22" t="n"/>
      <x:c r="O37" s="22" t="n"/>
      <x:c r="P37" s="25" t="n"/>
      <x:c r="Q37" s="25" t="n"/>
      <x:c r="R37" s="25" t="n"/>
      <x:c r="S37" s="22" t="n"/>
      <x:c r="T37" s="23" t="n"/>
      <x:c r="U37" s="25" t="n"/>
      <x:c r="V37" s="25" t="n"/>
      <x:c r="W37" s="25">
        <x:f>IF(OR(AND(OR(O37="DELIVERED",O37="PARTIAL"),J37&lt;&gt;TRUE),AND(OR(E37="CASH",E37="DAY CHEQUE",E37="POST DATED CHQ"),I37&lt;&gt;TRUE),AND(OR(E37="CASH",E37="DAY CHEQUE",E37="POST DATED CHQ"),K37&lt;&gt;TRUE),AND(E37="POST DATED CHQ",ISBLANK(M37)),P37=TRUE,Q37=TRUE,AND(R37=TRUE,OR(ISBLANK(S37),ISBLANK(T37))),AND(E37="ONLINE",V37&lt;&gt;TRUE),AND(I37=TRUE,U37&lt;&gt;TRUE)),TRUE,FALSE)</x:f>
        <x:v>0</x:v>
      </x:c>
      <x:c r="X37" s="22" t="n"/>
    </x:row>
    <x:row r="38">
      <x:c r="A38" s="22" t="n"/>
      <x:c r="B38" s="22" t="n"/>
      <x:c r="C38" s="22" t="n"/>
      <x:c r="D38" s="22" t="n"/>
      <x:c r="E38" s="22" t="n"/>
      <x:c r="F38" s="23" t="n"/>
      <x:c r="G38" s="23" t="n"/>
      <x:c r="H38" s="24">
        <x:f>IF(OR(ISBLANK(F38),ISBLANK(G38)),"",G38-F38)</x:f>
      </x:c>
      <x:c r="I38" s="25" t="n"/>
      <x:c r="J38" s="25" t="n"/>
      <x:c r="K38" s="25" t="n"/>
      <x:c r="L38" s="22" t="n"/>
      <x:c r="M38" s="22" t="n"/>
      <x:c r="N38" s="22" t="n"/>
      <x:c r="O38" s="22" t="n"/>
      <x:c r="P38" s="25" t="n"/>
      <x:c r="Q38" s="25" t="n"/>
      <x:c r="R38" s="25" t="n"/>
      <x:c r="S38" s="22" t="n"/>
      <x:c r="T38" s="23" t="n"/>
      <x:c r="U38" s="25" t="n"/>
      <x:c r="V38" s="25" t="n"/>
      <x:c r="W38" s="25">
        <x:f>IF(OR(AND(OR(O38="DELIVERED",O38="PARTIAL"),J38&lt;&gt;TRUE),AND(OR(E38="CASH",E38="DAY CHEQUE",E38="POST DATED CHQ"),I38&lt;&gt;TRUE),AND(OR(E38="CASH",E38="DAY CHEQUE",E38="POST DATED CHQ"),K38&lt;&gt;TRUE),AND(E38="POST DATED CHQ",ISBLANK(M38)),P38=TRUE,Q38=TRUE,AND(R38=TRUE,OR(ISBLANK(S38),ISBLANK(T38))),AND(E38="ONLINE",V38&lt;&gt;TRUE),AND(I38=TRUE,U38&lt;&gt;TRUE)),TRUE,FALSE)</x:f>
        <x:v>0</x:v>
      </x:c>
      <x:c r="X38" s="22" t="n"/>
    </x:row>
    <x:row r="39">
      <x:c r="A39" s="22" t="n"/>
      <x:c r="B39" s="22" t="n"/>
      <x:c r="C39" s="22" t="n"/>
      <x:c r="D39" s="22" t="n"/>
      <x:c r="E39" s="22" t="n"/>
      <x:c r="F39" s="23" t="n"/>
      <x:c r="G39" s="23" t="n"/>
      <x:c r="H39" s="24">
        <x:f>IF(OR(ISBLANK(F39),ISBLANK(G39)),"",G39-F39)</x:f>
      </x:c>
      <x:c r="I39" s="25" t="n"/>
      <x:c r="J39" s="25" t="n"/>
      <x:c r="K39" s="25" t="n"/>
      <x:c r="L39" s="22" t="n"/>
      <x:c r="M39" s="22" t="n"/>
      <x:c r="N39" s="22" t="n"/>
      <x:c r="O39" s="22" t="n"/>
      <x:c r="P39" s="25" t="n"/>
      <x:c r="Q39" s="25" t="n"/>
      <x:c r="R39" s="25" t="n"/>
      <x:c r="S39" s="22" t="n"/>
      <x:c r="T39" s="23" t="n"/>
      <x:c r="U39" s="25" t="n"/>
      <x:c r="V39" s="25" t="n"/>
      <x:c r="W39" s="25">
        <x:f>IF(OR(AND(OR(O39="DELIVERED",O39="PARTIAL"),J39&lt;&gt;TRUE),AND(OR(E39="CASH",E39="DAY CHEQUE",E39="POST DATED CHQ"),I39&lt;&gt;TRUE),AND(OR(E39="CASH",E39="DAY CHEQUE",E39="POST DATED CHQ"),K39&lt;&gt;TRUE),AND(E39="POST DATED CHQ",ISBLANK(M39)),P39=TRUE,Q39=TRUE,AND(R39=TRUE,OR(ISBLANK(S39),ISBLANK(T39))),AND(E39="ONLINE",V39&lt;&gt;TRUE),AND(I39=TRUE,U39&lt;&gt;TRUE)),TRUE,FALSE)</x:f>
        <x:v>0</x:v>
      </x:c>
      <x:c r="X39" s="22" t="n"/>
    </x:row>
    <x:row r="40">
      <x:c r="A40" s="22" t="n"/>
      <x:c r="B40" s="22" t="n"/>
      <x:c r="C40" s="22" t="n"/>
      <x:c r="D40" s="22" t="n"/>
      <x:c r="E40" s="22" t="n"/>
      <x:c r="F40" s="23" t="n"/>
      <x:c r="G40" s="23" t="n"/>
      <x:c r="H40" s="24">
        <x:f>IF(OR(ISBLANK(F40),ISBLANK(G40)),"",G40-F40)</x:f>
      </x:c>
      <x:c r="I40" s="25" t="n"/>
      <x:c r="J40" s="25" t="n"/>
      <x:c r="K40" s="25" t="n"/>
      <x:c r="L40" s="22" t="n"/>
      <x:c r="M40" s="22" t="n"/>
      <x:c r="N40" s="22" t="n"/>
      <x:c r="O40" s="22" t="n"/>
      <x:c r="P40" s="25" t="n"/>
      <x:c r="Q40" s="25" t="n"/>
      <x:c r="R40" s="25" t="n"/>
      <x:c r="S40" s="22" t="n"/>
      <x:c r="T40" s="23" t="n"/>
      <x:c r="U40" s="25" t="n"/>
      <x:c r="V40" s="25" t="n"/>
      <x:c r="W40" s="25">
        <x:f>IF(OR(AND(OR(O40="DELIVERED",O40="PARTIAL"),J40&lt;&gt;TRUE),AND(OR(E40="CASH",E40="DAY CHEQUE",E40="POST DATED CHQ"),I40&lt;&gt;TRUE),AND(OR(E40="CASH",E40="DAY CHEQUE",E40="POST DATED CHQ"),K40&lt;&gt;TRUE),AND(E40="POST DATED CHQ",ISBLANK(M40)),P40=TRUE,Q40=TRUE,AND(R40=TRUE,OR(ISBLANK(S40),ISBLANK(T40))),AND(E40="ONLINE",V40&lt;&gt;TRUE),AND(I40=TRUE,U40&lt;&gt;TRUE)),TRUE,FALSE)</x:f>
        <x:v>0</x:v>
      </x:c>
      <x:c r="X40" s="22" t="n"/>
    </x:row>
    <x:row r="41">
      <x:c r="A41" s="22" t="n"/>
      <x:c r="B41" s="22" t="n"/>
      <x:c r="C41" s="22" t="n"/>
      <x:c r="D41" s="22" t="n"/>
      <x:c r="E41" s="22" t="n"/>
      <x:c r="F41" s="23" t="n"/>
      <x:c r="G41" s="23" t="n"/>
      <x:c r="H41" s="24">
        <x:f>IF(OR(ISBLANK(F41),ISBLANK(G41)),"",G41-F41)</x:f>
      </x:c>
      <x:c r="I41" s="25" t="n"/>
      <x:c r="J41" s="25" t="n"/>
      <x:c r="K41" s="25" t="n"/>
      <x:c r="L41" s="22" t="n"/>
      <x:c r="M41" s="22" t="n"/>
      <x:c r="N41" s="22" t="n"/>
      <x:c r="O41" s="22" t="n"/>
      <x:c r="P41" s="25" t="n"/>
      <x:c r="Q41" s="25" t="n"/>
      <x:c r="R41" s="25" t="n"/>
      <x:c r="S41" s="22" t="n"/>
      <x:c r="T41" s="23" t="n"/>
      <x:c r="U41" s="25" t="n"/>
      <x:c r="V41" s="25" t="n"/>
      <x:c r="W41" s="25">
        <x:f>IF(OR(AND(OR(O41="DELIVERED",O41="PARTIAL"),J41&lt;&gt;TRUE),AND(OR(E41="CASH",E41="DAY CHEQUE",E41="POST DATED CHQ"),I41&lt;&gt;TRUE),AND(OR(E41="CASH",E41="DAY CHEQUE",E41="POST DATED CHQ"),K41&lt;&gt;TRUE),AND(E41="POST DATED CHQ",ISBLANK(M41)),P41=TRUE,Q41=TRUE,AND(R41=TRUE,OR(ISBLANK(S41),ISBLANK(T41))),AND(E41="ONLINE",V41&lt;&gt;TRUE),AND(I41=TRUE,U41&lt;&gt;TRUE)),TRUE,FALSE)</x:f>
        <x:v>0</x:v>
      </x:c>
      <x:c r="X41" s="22" t="n"/>
    </x:row>
    <x:row r="42">
      <x:c r="A42" s="22" t="n"/>
      <x:c r="B42" s="22" t="n"/>
      <x:c r="C42" s="22" t="n"/>
      <x:c r="D42" s="22" t="n"/>
      <x:c r="E42" s="22" t="n"/>
      <x:c r="F42" s="23" t="n"/>
      <x:c r="G42" s="23" t="n"/>
      <x:c r="H42" s="24">
        <x:f>IF(OR(ISBLANK(F42),ISBLANK(G42)),"",G42-F42)</x:f>
      </x:c>
      <x:c r="I42" s="25" t="n"/>
      <x:c r="J42" s="25" t="n"/>
      <x:c r="K42" s="25" t="n"/>
      <x:c r="L42" s="22" t="n"/>
      <x:c r="M42" s="22" t="n"/>
      <x:c r="N42" s="22" t="n"/>
      <x:c r="O42" s="22" t="n"/>
      <x:c r="P42" s="25" t="n"/>
      <x:c r="Q42" s="25" t="n"/>
      <x:c r="R42" s="25" t="n"/>
      <x:c r="S42" s="22" t="n"/>
      <x:c r="T42" s="23" t="n"/>
      <x:c r="U42" s="25" t="n"/>
      <x:c r="V42" s="25" t="n"/>
      <x:c r="W42" s="25">
        <x:f>IF(OR(AND(OR(O42="DELIVERED",O42="PARTIAL"),J42&lt;&gt;TRUE),AND(OR(E42="CASH",E42="DAY CHEQUE",E42="POST DATED CHQ"),I42&lt;&gt;TRUE),AND(OR(E42="CASH",E42="DAY CHEQUE",E42="POST DATED CHQ"),K42&lt;&gt;TRUE),AND(E42="POST DATED CHQ",ISBLANK(M42)),P42=TRUE,Q42=TRUE,AND(R42=TRUE,OR(ISBLANK(S42),ISBLANK(T42))),AND(E42="ONLINE",V42&lt;&gt;TRUE),AND(I42=TRUE,U42&lt;&gt;TRUE)),TRUE,FALSE)</x:f>
        <x:v>0</x:v>
      </x:c>
      <x:c r="X42" s="22" t="n"/>
    </x:row>
    <x:row r="43">
      <x:c r="A43" s="22" t="n"/>
      <x:c r="B43" s="22" t="n"/>
      <x:c r="C43" s="22" t="n"/>
      <x:c r="D43" s="22" t="n"/>
      <x:c r="E43" s="22" t="n"/>
      <x:c r="F43" s="23" t="n"/>
      <x:c r="G43" s="23" t="n"/>
      <x:c r="H43" s="24">
        <x:f>IF(OR(ISBLANK(F43),ISBLANK(G43)),"",G43-F43)</x:f>
      </x:c>
      <x:c r="I43" s="25" t="n"/>
      <x:c r="J43" s="25" t="n"/>
      <x:c r="K43" s="25" t="n"/>
      <x:c r="L43" s="22" t="n"/>
      <x:c r="M43" s="22" t="n"/>
      <x:c r="N43" s="22" t="n"/>
      <x:c r="O43" s="22" t="n"/>
      <x:c r="P43" s="25" t="n"/>
      <x:c r="Q43" s="25" t="n"/>
      <x:c r="R43" s="25" t="n"/>
      <x:c r="S43" s="22" t="n"/>
      <x:c r="T43" s="23" t="n"/>
      <x:c r="U43" s="25" t="n"/>
      <x:c r="V43" s="25" t="n"/>
      <x:c r="W43" s="25">
        <x:f>IF(OR(AND(OR(O43="DELIVERED",O43="PARTIAL"),J43&lt;&gt;TRUE),AND(OR(E43="CASH",E43="DAY CHEQUE",E43="POST DATED CHQ"),I43&lt;&gt;TRUE),AND(OR(E43="CASH",E43="DAY CHEQUE",E43="POST DATED CHQ"),K43&lt;&gt;TRUE),AND(E43="POST DATED CHQ",ISBLANK(M43)),P43=TRUE,Q43=TRUE,AND(R43=TRUE,OR(ISBLANK(S43),ISBLANK(T43))),AND(E43="ONLINE",V43&lt;&gt;TRUE),AND(I43=TRUE,U43&lt;&gt;TRUE)),TRUE,FALSE)</x:f>
        <x:v>0</x:v>
      </x:c>
      <x:c r="X43" s="22" t="n"/>
    </x:row>
    <x:row r="44">
      <x:c r="A44" s="22" t="n"/>
      <x:c r="B44" s="22" t="n"/>
      <x:c r="C44" s="22" t="n"/>
      <x:c r="D44" s="22" t="n"/>
      <x:c r="E44" s="22" t="n"/>
      <x:c r="F44" s="23" t="n"/>
      <x:c r="G44" s="23" t="n"/>
      <x:c r="H44" s="24">
        <x:f>IF(OR(ISBLANK(F44),ISBLANK(G44)),"",G44-F44)</x:f>
      </x:c>
      <x:c r="I44" s="25" t="n"/>
      <x:c r="J44" s="25" t="n"/>
      <x:c r="K44" s="25" t="n"/>
      <x:c r="L44" s="22" t="n"/>
      <x:c r="M44" s="22" t="n"/>
      <x:c r="N44" s="22" t="n"/>
      <x:c r="O44" s="22" t="n"/>
      <x:c r="P44" s="25" t="n"/>
      <x:c r="Q44" s="25" t="n"/>
      <x:c r="R44" s="25" t="n"/>
      <x:c r="S44" s="22" t="n"/>
      <x:c r="T44" s="23" t="n"/>
      <x:c r="U44" s="25" t="n"/>
      <x:c r="V44" s="25" t="n"/>
      <x:c r="W44" s="25">
        <x:f>IF(OR(AND(OR(O44="DELIVERED",O44="PARTIAL"),J44&lt;&gt;TRUE),AND(OR(E44="CASH",E44="DAY CHEQUE",E44="POST DATED CHQ"),I44&lt;&gt;TRUE),AND(OR(E44="CASH",E44="DAY CHEQUE",E44="POST DATED CHQ"),K44&lt;&gt;TRUE),AND(E44="POST DATED CHQ",ISBLANK(M44)),P44=TRUE,Q44=TRUE,AND(R44=TRUE,OR(ISBLANK(S44),ISBLANK(T44))),AND(E44="ONLINE",V44&lt;&gt;TRUE),AND(I44=TRUE,U44&lt;&gt;TRUE)),TRUE,FALSE)</x:f>
        <x:v>0</x:v>
      </x:c>
      <x:c r="X44" s="22" t="n"/>
    </x:row>
    <x:row r="45">
      <x:c r="A45" s="22" t="n"/>
      <x:c r="B45" s="22" t="n"/>
      <x:c r="C45" s="22" t="n"/>
      <x:c r="D45" s="22" t="n"/>
      <x:c r="E45" s="22" t="n"/>
      <x:c r="F45" s="23" t="n"/>
      <x:c r="G45" s="23" t="n"/>
      <x:c r="H45" s="24">
        <x:f>IF(OR(ISBLANK(F45),ISBLANK(G45)),"",G45-F45)</x:f>
      </x:c>
      <x:c r="I45" s="25" t="n"/>
      <x:c r="J45" s="25" t="n"/>
      <x:c r="K45" s="25" t="n"/>
      <x:c r="L45" s="22" t="n"/>
      <x:c r="M45" s="22" t="n"/>
      <x:c r="N45" s="22" t="n"/>
      <x:c r="O45" s="22" t="n"/>
      <x:c r="P45" s="25" t="n"/>
      <x:c r="Q45" s="25" t="n"/>
      <x:c r="R45" s="25" t="n"/>
      <x:c r="S45" s="22" t="n"/>
      <x:c r="T45" s="23" t="n"/>
      <x:c r="U45" s="25" t="n"/>
      <x:c r="V45" s="25" t="n"/>
      <x:c r="W45" s="25">
        <x:f>IF(OR(AND(OR(O45="DELIVERED",O45="PARTIAL"),J45&lt;&gt;TRUE),AND(OR(E45="CASH",E45="DAY CHEQUE",E45="POST DATED CHQ"),I45&lt;&gt;TRUE),AND(OR(E45="CASH",E45="DAY CHEQUE",E45="POST DATED CHQ"),K45&lt;&gt;TRUE),AND(E45="POST DATED CHQ",ISBLANK(M45)),P45=TRUE,Q45=TRUE,AND(R45=TRUE,OR(ISBLANK(S45),ISBLANK(T45))),AND(E45="ONLINE",V45&lt;&gt;TRUE),AND(I45=TRUE,U45&lt;&gt;TRUE)),TRUE,FALSE)</x:f>
        <x:v>0</x:v>
      </x:c>
      <x:c r="X45" s="22" t="n"/>
    </x:row>
    <x:row r="46">
      <x:c r="A46" s="22" t="n"/>
      <x:c r="B46" s="22" t="n"/>
      <x:c r="C46" s="22" t="n"/>
      <x:c r="D46" s="22" t="n"/>
      <x:c r="E46" s="22" t="n"/>
      <x:c r="F46" s="23" t="n"/>
      <x:c r="G46" s="23" t="n"/>
      <x:c r="H46" s="24">
        <x:f>IF(OR(ISBLANK(F46),ISBLANK(G46)),"",G46-F46)</x:f>
      </x:c>
      <x:c r="I46" s="25" t="n"/>
      <x:c r="J46" s="25" t="n"/>
      <x:c r="K46" s="25" t="n"/>
      <x:c r="L46" s="22" t="n"/>
      <x:c r="M46" s="22" t="n"/>
      <x:c r="N46" s="22" t="n"/>
      <x:c r="O46" s="22" t="n"/>
      <x:c r="P46" s="25" t="n"/>
      <x:c r="Q46" s="25" t="n"/>
      <x:c r="R46" s="25" t="n"/>
      <x:c r="S46" s="22" t="n"/>
      <x:c r="T46" s="23" t="n"/>
      <x:c r="U46" s="25" t="n"/>
      <x:c r="V46" s="25" t="n"/>
      <x:c r="W46" s="25">
        <x:f>IF(OR(AND(OR(O46="DELIVERED",O46="PARTIAL"),J46&lt;&gt;TRUE),AND(OR(E46="CASH",E46="DAY CHEQUE",E46="POST DATED CHQ"),I46&lt;&gt;TRUE),AND(OR(E46="CASH",E46="DAY CHEQUE",E46="POST DATED CHQ"),K46&lt;&gt;TRUE),AND(E46="POST DATED CHQ",ISBLANK(M46)),P46=TRUE,Q46=TRUE,AND(R46=TRUE,OR(ISBLANK(S46),ISBLANK(T46))),AND(E46="ONLINE",V46&lt;&gt;TRUE),AND(I46=TRUE,U46&lt;&gt;TRUE)),TRUE,FALSE)</x:f>
        <x:v>0</x:v>
      </x:c>
      <x:c r="X46" s="22" t="n"/>
    </x:row>
    <x:row r="47">
      <x:c r="A47" s="22" t="n"/>
      <x:c r="B47" s="22" t="n"/>
      <x:c r="C47" s="22" t="n"/>
      <x:c r="D47" s="22" t="n"/>
      <x:c r="E47" s="22" t="n"/>
      <x:c r="F47" s="23" t="n"/>
      <x:c r="G47" s="23" t="n"/>
      <x:c r="H47" s="24">
        <x:f>IF(OR(ISBLANK(F47),ISBLANK(G47)),"",G47-F47)</x:f>
      </x:c>
      <x:c r="I47" s="25" t="n"/>
      <x:c r="J47" s="25" t="n"/>
      <x:c r="K47" s="25" t="n"/>
      <x:c r="L47" s="22" t="n"/>
      <x:c r="M47" s="22" t="n"/>
      <x:c r="N47" s="22" t="n"/>
      <x:c r="O47" s="22" t="n"/>
      <x:c r="P47" s="25" t="n"/>
      <x:c r="Q47" s="25" t="n"/>
      <x:c r="R47" s="25" t="n"/>
      <x:c r="S47" s="22" t="n"/>
      <x:c r="T47" s="23" t="n"/>
      <x:c r="U47" s="25" t="n"/>
      <x:c r="V47" s="25" t="n"/>
      <x:c r="W47" s="25">
        <x:f>IF(OR(AND(OR(O47="DELIVERED",O47="PARTIAL"),J47&lt;&gt;TRUE),AND(OR(E47="CASH",E47="DAY CHEQUE",E47="POST DATED CHQ"),I47&lt;&gt;TRUE),AND(OR(E47="CASH",E47="DAY CHEQUE",E47="POST DATED CHQ"),K47&lt;&gt;TRUE),AND(E47="POST DATED CHQ",ISBLANK(M47)),P47=TRUE,Q47=TRUE,AND(R47=TRUE,OR(ISBLANK(S47),ISBLANK(T47))),AND(E47="ONLINE",V47&lt;&gt;TRUE),AND(I47=TRUE,U47&lt;&gt;TRUE)),TRUE,FALSE)</x:f>
        <x:v>0</x:v>
      </x:c>
      <x:c r="X47" s="22" t="n"/>
    </x:row>
    <x:row r="48">
      <x:c r="A48" s="22" t="n"/>
      <x:c r="B48" s="22" t="n"/>
      <x:c r="C48" s="22" t="n"/>
      <x:c r="D48" s="22" t="n"/>
      <x:c r="E48" s="22" t="n"/>
      <x:c r="F48" s="23" t="n"/>
      <x:c r="G48" s="23" t="n"/>
      <x:c r="H48" s="24">
        <x:f>IF(OR(ISBLANK(F48),ISBLANK(G48)),"",G48-F48)</x:f>
      </x:c>
      <x:c r="I48" s="25" t="n"/>
      <x:c r="J48" s="25" t="n"/>
      <x:c r="K48" s="25" t="n"/>
      <x:c r="L48" s="22" t="n"/>
      <x:c r="M48" s="22" t="n"/>
      <x:c r="N48" s="22" t="n"/>
      <x:c r="O48" s="22" t="n"/>
      <x:c r="P48" s="25" t="n"/>
      <x:c r="Q48" s="25" t="n"/>
      <x:c r="R48" s="25" t="n"/>
      <x:c r="S48" s="22" t="n"/>
      <x:c r="T48" s="23" t="n"/>
      <x:c r="U48" s="25" t="n"/>
      <x:c r="V48" s="25" t="n"/>
      <x:c r="W48" s="25">
        <x:f>IF(OR(AND(OR(O48="DELIVERED",O48="PARTIAL"),J48&lt;&gt;TRUE),AND(OR(E48="CASH",E48="DAY CHEQUE",E48="POST DATED CHQ"),I48&lt;&gt;TRUE),AND(OR(E48="CASH",E48="DAY CHEQUE",E48="POST DATED CHQ"),K48&lt;&gt;TRUE),AND(E48="POST DATED CHQ",ISBLANK(M48)),P48=TRUE,Q48=TRUE,AND(R48=TRUE,OR(ISBLANK(S48),ISBLANK(T48))),AND(E48="ONLINE",V48&lt;&gt;TRUE),AND(I48=TRUE,U48&lt;&gt;TRUE)),TRUE,FALSE)</x:f>
        <x:v>0</x:v>
      </x:c>
      <x:c r="X48" s="22" t="n"/>
    </x:row>
    <x:row r="49">
      <x:c r="A49" s="22" t="n"/>
      <x:c r="B49" s="22" t="n"/>
      <x:c r="C49" s="22" t="n"/>
      <x:c r="D49" s="22" t="n"/>
      <x:c r="E49" s="22" t="n"/>
      <x:c r="F49" s="23" t="n"/>
      <x:c r="G49" s="23" t="n"/>
      <x:c r="H49" s="24">
        <x:f>IF(OR(ISBLANK(F49),ISBLANK(G49)),"",G49-F49)</x:f>
      </x:c>
      <x:c r="I49" s="25" t="n"/>
      <x:c r="J49" s="25" t="n"/>
      <x:c r="K49" s="25" t="n"/>
      <x:c r="L49" s="22" t="n"/>
      <x:c r="M49" s="22" t="n"/>
      <x:c r="N49" s="22" t="n"/>
      <x:c r="O49" s="22" t="n"/>
      <x:c r="P49" s="25" t="n"/>
      <x:c r="Q49" s="25" t="n"/>
      <x:c r="R49" s="25" t="n"/>
      <x:c r="S49" s="22" t="n"/>
      <x:c r="T49" s="23" t="n"/>
      <x:c r="U49" s="25" t="n"/>
      <x:c r="V49" s="25" t="n"/>
      <x:c r="W49" s="25">
        <x:f>IF(OR(AND(OR(O49="DELIVERED",O49="PARTIAL"),J49&lt;&gt;TRUE),AND(OR(E49="CASH",E49="DAY CHEQUE",E49="POST DATED CHQ"),I49&lt;&gt;TRUE),AND(OR(E49="CASH",E49="DAY CHEQUE",E49="POST DATED CHQ"),K49&lt;&gt;TRUE),AND(E49="POST DATED CHQ",ISBLANK(M49)),P49=TRUE,Q49=TRUE,AND(R49=TRUE,OR(ISBLANK(S49),ISBLANK(T49))),AND(E49="ONLINE",V49&lt;&gt;TRUE),AND(I49=TRUE,U49&lt;&gt;TRUE)),TRUE,FALSE)</x:f>
        <x:v>0</x:v>
      </x:c>
      <x:c r="X49" s="22" t="n"/>
    </x:row>
    <x:row r="50">
      <x:c r="A50" s="22" t="n"/>
      <x:c r="B50" s="22" t="n"/>
      <x:c r="C50" s="22" t="n"/>
      <x:c r="D50" s="22" t="n"/>
      <x:c r="E50" s="22" t="n"/>
      <x:c r="F50" s="23" t="n"/>
      <x:c r="G50" s="23" t="n"/>
      <x:c r="H50" s="24">
        <x:f>IF(OR(ISBLANK(F50),ISBLANK(G50)),"",G50-F50)</x:f>
      </x:c>
      <x:c r="I50" s="25" t="n"/>
      <x:c r="J50" s="25" t="n"/>
      <x:c r="K50" s="25" t="n"/>
      <x:c r="L50" s="22" t="n"/>
      <x:c r="M50" s="22" t="n"/>
      <x:c r="N50" s="22" t="n"/>
      <x:c r="O50" s="22" t="n"/>
      <x:c r="P50" s="25" t="n"/>
      <x:c r="Q50" s="25" t="n"/>
      <x:c r="R50" s="25" t="n"/>
      <x:c r="S50" s="22" t="n"/>
      <x:c r="T50" s="23" t="n"/>
      <x:c r="U50" s="25" t="n"/>
      <x:c r="V50" s="25" t="n"/>
      <x:c r="W50" s="25">
        <x:f>IF(OR(AND(OR(O50="DELIVERED",O50="PARTIAL"),J50&lt;&gt;TRUE),AND(OR(E50="CASH",E50="DAY CHEQUE",E50="POST DATED CHQ"),I50&lt;&gt;TRUE),AND(OR(E50="CASH",E50="DAY CHEQUE",E50="POST DATED CHQ"),K50&lt;&gt;TRUE),AND(E50="POST DATED CHQ",ISBLANK(M50)),P50=TRUE,Q50=TRUE,AND(R50=TRUE,OR(ISBLANK(S50),ISBLANK(T50))),AND(E50="ONLINE",V50&lt;&gt;TRUE),AND(I50=TRUE,U50&lt;&gt;TRUE)),TRUE,FALSE)</x:f>
        <x:v>0</x:v>
      </x:c>
      <x:c r="X50" s="22" t="n"/>
    </x:row>
    <x:row r="51">
      <x:c r="A51" s="22" t="n"/>
      <x:c r="B51" s="22" t="n"/>
      <x:c r="C51" s="22" t="n"/>
      <x:c r="D51" s="22" t="n"/>
      <x:c r="E51" s="22" t="n"/>
      <x:c r="F51" s="23" t="n"/>
      <x:c r="G51" s="23" t="n"/>
      <x:c r="H51" s="24">
        <x:f>IF(OR(ISBLANK(F51),ISBLANK(G51)),"",G51-F51)</x:f>
      </x:c>
      <x:c r="I51" s="25" t="n"/>
      <x:c r="J51" s="25" t="n"/>
      <x:c r="K51" s="25" t="n"/>
      <x:c r="L51" s="22" t="n"/>
      <x:c r="M51" s="22" t="n"/>
      <x:c r="N51" s="22" t="n"/>
      <x:c r="O51" s="22" t="n"/>
      <x:c r="P51" s="25" t="n"/>
      <x:c r="Q51" s="25" t="n"/>
      <x:c r="R51" s="25" t="n"/>
      <x:c r="S51" s="22" t="n"/>
      <x:c r="T51" s="23" t="n"/>
      <x:c r="U51" s="25" t="n"/>
      <x:c r="V51" s="25" t="n"/>
      <x:c r="W51" s="25">
        <x:f>IF(OR(AND(OR(O51="DELIVERED",O51="PARTIAL"),J51&lt;&gt;TRUE),AND(OR(E51="CASH",E51="DAY CHEQUE",E51="POST DATED CHQ"),I51&lt;&gt;TRUE),AND(OR(E51="CASH",E51="DAY CHEQUE",E51="POST DATED CHQ"),K51&lt;&gt;TRUE),AND(E51="POST DATED CHQ",ISBLANK(M51)),P51=TRUE,Q51=TRUE,AND(R51=TRUE,OR(ISBLANK(S51),ISBLANK(T51))),AND(E51="ONLINE",V51&lt;&gt;TRUE),AND(I51=TRUE,U51&lt;&gt;TRUE)),TRUE,FALSE)</x:f>
      </x:c>
      <x:c r="X51" s="22" t="n"/>
    </x:row>
    <x:row r="52">
      <x:c r="A52" s="22" t="n"/>
      <x:c r="B52" s="22" t="n"/>
      <x:c r="C52" s="22" t="n"/>
      <x:c r="D52" s="22" t="n"/>
      <x:c r="E52" s="22" t="n"/>
      <x:c r="F52" s="23" t="n"/>
      <x:c r="G52" s="23" t="n"/>
      <x:c r="H52" s="24">
        <x:f>IF(OR(ISBLANK(F52),ISBLANK(G52)),"",G52-F52)</x:f>
      </x:c>
      <x:c r="I52" s="25" t="n"/>
      <x:c r="J52" s="25" t="n"/>
      <x:c r="K52" s="25" t="n"/>
      <x:c r="L52" s="22" t="n"/>
      <x:c r="M52" s="22" t="n"/>
      <x:c r="N52" s="22" t="n"/>
      <x:c r="O52" s="22" t="n"/>
      <x:c r="P52" s="25" t="n"/>
      <x:c r="Q52" s="25" t="n"/>
      <x:c r="R52" s="25" t="n"/>
      <x:c r="S52" s="22" t="n"/>
      <x:c r="T52" s="23" t="n"/>
      <x:c r="U52" s="25" t="n"/>
      <x:c r="V52" s="25" t="n"/>
      <x:c r="W52" s="25">
        <x:f>IF(OR(AND(OR(O52="DELIVERED",O52="PARTIAL"),J52&lt;&gt;TRUE),AND(OR(E52="CASH",E52="DAY CHEQUE",E52="POST DATED CHQ"),I52&lt;&gt;TRUE),AND(OR(E52="CASH",E52="DAY CHEQUE",E52="POST DATED CHQ"),K52&lt;&gt;TRUE),AND(E52="POST DATED CHQ",ISBLANK(M52)),P52=TRUE,Q52=TRUE,AND(R52=TRUE,OR(ISBLANK(S52),ISBLANK(T52))),AND(E52="ONLINE",V52&lt;&gt;TRUE),AND(I52=TRUE,U52&lt;&gt;TRUE)),TRUE,FALSE)</x:f>
      </x:c>
      <x:c r="X52" s="22" t="n"/>
    </x:row>
    <x:row r="53">
      <x:c r="A53" s="22" t="n"/>
      <x:c r="B53" s="22" t="n"/>
      <x:c r="C53" s="22" t="n"/>
      <x:c r="D53" s="22" t="n"/>
      <x:c r="E53" s="22" t="n"/>
      <x:c r="F53" s="23" t="n"/>
      <x:c r="G53" s="23" t="n"/>
      <x:c r="H53" s="24">
        <x:f>IF(OR(ISBLANK(F53),ISBLANK(G53)),"",G53-F53)</x:f>
      </x:c>
      <x:c r="I53" s="25" t="n"/>
      <x:c r="J53" s="25" t="n"/>
      <x:c r="K53" s="25" t="n"/>
      <x:c r="L53" s="22" t="n"/>
      <x:c r="M53" s="22" t="n"/>
      <x:c r="N53" s="22" t="n"/>
      <x:c r="O53" s="22" t="n"/>
      <x:c r="P53" s="25" t="n"/>
      <x:c r="Q53" s="25" t="n"/>
      <x:c r="R53" s="25" t="n"/>
      <x:c r="S53" s="22" t="n"/>
      <x:c r="T53" s="23" t="n"/>
      <x:c r="U53" s="25" t="n"/>
      <x:c r="V53" s="25" t="n"/>
      <x:c r="W53" s="25">
        <x:f>IF(OR(AND(OR(O53="DELIVERED",O53="PARTIAL"),J53&lt;&gt;TRUE),AND(OR(E53="CASH",E53="DAY CHEQUE",E53="POST DATED CHQ"),I53&lt;&gt;TRUE),AND(OR(E53="CASH",E53="DAY CHEQUE",E53="POST DATED CHQ"),K53&lt;&gt;TRUE),AND(E53="POST DATED CHQ",ISBLANK(M53)),P53=TRUE,Q53=TRUE,AND(R53=TRUE,OR(ISBLANK(S53),ISBLANK(T53))),AND(E53="ONLINE",V53&lt;&gt;TRUE),AND(I53=TRUE,U53&lt;&gt;TRUE)),TRUE,FALSE)</x:f>
      </x:c>
      <x:c r="X53" s="22" t="n"/>
    </x:row>
    <x:row r="54">
      <x:c r="A54" s="22" t="n"/>
      <x:c r="B54" s="22" t="n"/>
      <x:c r="C54" s="22" t="n"/>
      <x:c r="D54" s="22" t="n"/>
      <x:c r="E54" s="22" t="n"/>
      <x:c r="F54" s="23" t="n"/>
      <x:c r="G54" s="23" t="n"/>
      <x:c r="H54" s="24">
        <x:f>IF(OR(ISBLANK(F54),ISBLANK(G54)),"",G54-F54)</x:f>
      </x:c>
      <x:c r="I54" s="25" t="n"/>
      <x:c r="J54" s="25" t="n"/>
      <x:c r="K54" s="25" t="n"/>
      <x:c r="L54" s="22" t="n"/>
      <x:c r="M54" s="22" t="n"/>
      <x:c r="N54" s="22" t="n"/>
      <x:c r="O54" s="22" t="n"/>
      <x:c r="P54" s="25" t="n"/>
      <x:c r="Q54" s="25" t="n"/>
      <x:c r="R54" s="25" t="n"/>
      <x:c r="S54" s="22" t="n"/>
      <x:c r="T54" s="23" t="n"/>
      <x:c r="U54" s="25" t="n"/>
      <x:c r="V54" s="25" t="n"/>
      <x:c r="W54" s="25">
        <x:f>IF(OR(AND(OR(O54="DELIVERED",O54="PARTIAL"),J54&lt;&gt;TRUE),AND(OR(E54="CASH",E54="DAY CHEQUE",E54="POST DATED CHQ"),I54&lt;&gt;TRUE),AND(OR(E54="CASH",E54="DAY CHEQUE",E54="POST DATED CHQ"),K54&lt;&gt;TRUE),AND(E54="POST DATED CHQ",ISBLANK(M54)),P54=TRUE,Q54=TRUE,AND(R54=TRUE,OR(ISBLANK(S54),ISBLANK(T54))),AND(E54="ONLINE",V54&lt;&gt;TRUE),AND(I54=TRUE,U54&lt;&gt;TRUE)),TRUE,FALSE)</x:f>
      </x:c>
      <x:c r="X54" s="22" t="n"/>
    </x:row>
    <x:row r="55">
      <x:c r="A55" s="22" t="n"/>
      <x:c r="B55" s="22" t="n"/>
      <x:c r="C55" s="22" t="n"/>
      <x:c r="D55" s="22" t="n"/>
      <x:c r="E55" s="22" t="n"/>
      <x:c r="F55" s="23" t="n"/>
      <x:c r="G55" s="23" t="n"/>
      <x:c r="H55" s="24">
        <x:f>IF(OR(ISBLANK(F55),ISBLANK(G55)),"",G55-F55)</x:f>
      </x:c>
      <x:c r="I55" s="25" t="n"/>
      <x:c r="J55" s="25" t="n"/>
      <x:c r="K55" s="25" t="n"/>
      <x:c r="L55" s="22" t="n"/>
      <x:c r="M55" s="22" t="n"/>
      <x:c r="N55" s="22" t="n"/>
      <x:c r="O55" s="22" t="n"/>
      <x:c r="P55" s="25" t="n"/>
      <x:c r="Q55" s="25" t="n"/>
      <x:c r="R55" s="25" t="n"/>
      <x:c r="S55" s="22" t="n"/>
      <x:c r="T55" s="23" t="n"/>
      <x:c r="U55" s="25" t="n"/>
      <x:c r="V55" s="25" t="n"/>
      <x:c r="W55" s="25">
        <x:f>IF(OR(AND(OR(O55="DELIVERED",O55="PARTIAL"),J55&lt;&gt;TRUE),AND(OR(E55="CASH",E55="DAY CHEQUE",E55="POST DATED CHQ"),I55&lt;&gt;TRUE),AND(OR(E55="CASH",E55="DAY CHEQUE",E55="POST DATED CHQ"),K55&lt;&gt;TRUE),AND(E55="POST DATED CHQ",ISBLANK(M55)),P55=TRUE,Q55=TRUE,AND(R55=TRUE,OR(ISBLANK(S55),ISBLANK(T55))),AND(E55="ONLINE",V55&lt;&gt;TRUE),AND(I55=TRUE,U55&lt;&gt;TRUE)),TRUE,FALSE)</x:f>
      </x:c>
      <x:c r="X55" s="22" t="n"/>
    </x:row>
    <x:row r="56">
      <x:c r="A56" s="22" t="n"/>
      <x:c r="B56" s="22" t="n"/>
      <x:c r="C56" s="22" t="n"/>
      <x:c r="D56" s="22" t="n"/>
      <x:c r="E56" s="22" t="n"/>
      <x:c r="F56" s="23" t="n"/>
      <x:c r="G56" s="23" t="n"/>
      <x:c r="H56" s="24">
        <x:f>IF(OR(ISBLANK(F56),ISBLANK(G56)),"",G56-F56)</x:f>
      </x:c>
      <x:c r="I56" s="25" t="n"/>
      <x:c r="J56" s="25" t="n"/>
      <x:c r="K56" s="25" t="n"/>
      <x:c r="L56" s="22" t="n"/>
      <x:c r="M56" s="22" t="n"/>
      <x:c r="N56" s="22" t="n"/>
      <x:c r="O56" s="22" t="n"/>
      <x:c r="P56" s="25" t="n"/>
      <x:c r="Q56" s="25" t="n"/>
      <x:c r="R56" s="25" t="n"/>
      <x:c r="S56" s="22" t="n"/>
      <x:c r="T56" s="23" t="n"/>
      <x:c r="U56" s="25" t="n"/>
      <x:c r="V56" s="25" t="n"/>
      <x:c r="W56" s="25">
        <x:f>IF(OR(AND(OR(O56="DELIVERED",O56="PARTIAL"),J56&lt;&gt;TRUE),AND(OR(E56="CASH",E56="DAY CHEQUE",E56="POST DATED CHQ"),I56&lt;&gt;TRUE),AND(OR(E56="CASH",E56="DAY CHEQUE",E56="POST DATED CHQ"),K56&lt;&gt;TRUE),AND(E56="POST DATED CHQ",ISBLANK(M56)),P56=TRUE,Q56=TRUE,AND(R56=TRUE,OR(ISBLANK(S56),ISBLANK(T56))),AND(E56="ONLINE",V56&lt;&gt;TRUE),AND(I56=TRUE,U56&lt;&gt;TRUE)),TRUE,FALSE)</x:f>
      </x:c>
      <x:c r="X56" s="22" t="n"/>
    </x:row>
    <x:row r="57">
      <x:c r="A57" s="22" t="n"/>
      <x:c r="B57" s="22" t="n"/>
      <x:c r="C57" s="22" t="n"/>
      <x:c r="D57" s="22" t="n"/>
      <x:c r="E57" s="22" t="n"/>
      <x:c r="F57" s="23" t="n"/>
      <x:c r="G57" s="23" t="n"/>
      <x:c r="H57" s="24">
        <x:f>IF(OR(ISBLANK(F57),ISBLANK(G57)),"",G57-F57)</x:f>
      </x:c>
      <x:c r="I57" s="25" t="n"/>
      <x:c r="J57" s="25" t="n"/>
      <x:c r="K57" s="25" t="n"/>
      <x:c r="L57" s="22" t="n"/>
      <x:c r="M57" s="22" t="n"/>
      <x:c r="N57" s="22" t="n"/>
      <x:c r="O57" s="22" t="n"/>
      <x:c r="P57" s="25" t="n"/>
      <x:c r="Q57" s="25" t="n"/>
      <x:c r="R57" s="25" t="n"/>
      <x:c r="S57" s="22" t="n"/>
      <x:c r="T57" s="23" t="n"/>
      <x:c r="U57" s="25" t="n"/>
      <x:c r="V57" s="25" t="n"/>
      <x:c r="W57" s="25">
        <x:f>IF(OR(AND(OR(O57="DELIVERED",O57="PARTIAL"),J57&lt;&gt;TRUE),AND(OR(E57="CASH",E57="DAY CHEQUE",E57="POST DATED CHQ"),I57&lt;&gt;TRUE),AND(OR(E57="CASH",E57="DAY CHEQUE",E57="POST DATED CHQ"),K57&lt;&gt;TRUE),AND(E57="POST DATED CHQ",ISBLANK(M57)),P57=TRUE,Q57=TRUE,AND(R57=TRUE,OR(ISBLANK(S57),ISBLANK(T57))),AND(E57="ONLINE",V57&lt;&gt;TRUE),AND(I57=TRUE,U57&lt;&gt;TRUE)),TRUE,FALSE)</x:f>
      </x:c>
      <x:c r="X57" s="22" t="n"/>
    </x:row>
    <x:row r="58">
      <x:c r="A58" s="22" t="n"/>
      <x:c r="B58" s="22" t="n"/>
      <x:c r="C58" s="22" t="n"/>
      <x:c r="D58" s="22" t="n"/>
      <x:c r="E58" s="22" t="n"/>
      <x:c r="F58" s="23" t="n"/>
      <x:c r="G58" s="23" t="n"/>
      <x:c r="H58" s="24">
        <x:f>IF(OR(ISBLANK(F58),ISBLANK(G58)),"",G58-F58)</x:f>
      </x:c>
      <x:c r="I58" s="25" t="n"/>
      <x:c r="J58" s="25" t="n"/>
      <x:c r="K58" s="25" t="n"/>
      <x:c r="L58" s="22" t="n"/>
      <x:c r="M58" s="22" t="n"/>
      <x:c r="N58" s="22" t="n"/>
      <x:c r="O58" s="22" t="n"/>
      <x:c r="P58" s="25" t="n"/>
      <x:c r="Q58" s="25" t="n"/>
      <x:c r="R58" s="25" t="n"/>
      <x:c r="S58" s="22" t="n"/>
      <x:c r="T58" s="23" t="n"/>
      <x:c r="U58" s="25" t="n"/>
      <x:c r="V58" s="25" t="n"/>
      <x:c r="W58" s="25">
        <x:f>IF(OR(AND(OR(O58="DELIVERED",O58="PARTIAL"),J58&lt;&gt;TRUE),AND(OR(E58="CASH",E58="DAY CHEQUE",E58="POST DATED CHQ"),I58&lt;&gt;TRUE),AND(OR(E58="CASH",E58="DAY CHEQUE",E58="POST DATED CHQ"),K58&lt;&gt;TRUE),AND(E58="POST DATED CHQ",ISBLANK(M58)),P58=TRUE,Q58=TRUE,AND(R58=TRUE,OR(ISBLANK(S58),ISBLANK(T58))),AND(E58="ONLINE",V58&lt;&gt;TRUE),AND(I58=TRUE,U58&lt;&gt;TRUE)),TRUE,FALSE)</x:f>
      </x:c>
      <x:c r="X58" s="22" t="n"/>
    </x:row>
    <x:row r="59">
      <x:c r="A59" s="22" t="n"/>
      <x:c r="B59" s="22" t="n"/>
      <x:c r="C59" s="22" t="n"/>
      <x:c r="D59" s="22" t="n"/>
      <x:c r="E59" s="22" t="n"/>
      <x:c r="F59" s="23" t="n"/>
      <x:c r="G59" s="23" t="n"/>
      <x:c r="H59" s="24">
        <x:f>IF(OR(ISBLANK(F59),ISBLANK(G59)),"",G59-F59)</x:f>
      </x:c>
      <x:c r="I59" s="25" t="n"/>
      <x:c r="J59" s="25" t="n"/>
      <x:c r="K59" s="25" t="n"/>
      <x:c r="L59" s="22" t="n"/>
      <x:c r="M59" s="22" t="n"/>
      <x:c r="N59" s="22" t="n"/>
      <x:c r="O59" s="22" t="n"/>
      <x:c r="P59" s="25" t="n"/>
      <x:c r="Q59" s="25" t="n"/>
      <x:c r="R59" s="25" t="n"/>
      <x:c r="S59" s="22" t="n"/>
      <x:c r="T59" s="23" t="n"/>
      <x:c r="U59" s="25" t="n"/>
      <x:c r="V59" s="25" t="n"/>
      <x:c r="W59" s="25">
        <x:f>IF(OR(AND(OR(O59="DELIVERED",O59="PARTIAL"),J59&lt;&gt;TRUE),AND(OR(E59="CASH",E59="DAY CHEQUE",E59="POST DATED CHQ"),I59&lt;&gt;TRUE),AND(OR(E59="CASH",E59="DAY CHEQUE",E59="POST DATED CHQ"),K59&lt;&gt;TRUE),AND(E59="POST DATED CHQ",ISBLANK(M59)),P59=TRUE,Q59=TRUE,AND(R59=TRUE,OR(ISBLANK(S59),ISBLANK(T59))),AND(E59="ONLINE",V59&lt;&gt;TRUE),AND(I59=TRUE,U59&lt;&gt;TRUE)),TRUE,FALSE)</x:f>
      </x:c>
      <x:c r="X59" s="22" t="n"/>
    </x:row>
    <x:row r="60">
      <x:c r="A60" s="22" t="n"/>
      <x:c r="B60" s="22" t="n"/>
      <x:c r="C60" s="22" t="n"/>
      <x:c r="D60" s="22" t="n"/>
      <x:c r="E60" s="22" t="n"/>
      <x:c r="F60" s="23" t="n"/>
      <x:c r="G60" s="23" t="n"/>
      <x:c r="H60" s="24">
        <x:f>IF(OR(ISBLANK(F60),ISBLANK(G60)),"",G60-F60)</x:f>
      </x:c>
      <x:c r="I60" s="25" t="n"/>
      <x:c r="J60" s="25" t="n"/>
      <x:c r="K60" s="25" t="n"/>
      <x:c r="L60" s="22" t="n"/>
      <x:c r="M60" s="22" t="n"/>
      <x:c r="N60" s="22" t="n"/>
      <x:c r="O60" s="22" t="n"/>
      <x:c r="P60" s="25" t="n"/>
      <x:c r="Q60" s="25" t="n"/>
      <x:c r="R60" s="25" t="n"/>
      <x:c r="S60" s="22" t="n"/>
      <x:c r="T60" s="23" t="n"/>
      <x:c r="U60" s="25" t="n"/>
      <x:c r="V60" s="25" t="n"/>
      <x:c r="W60" s="25">
        <x:f>IF(OR(AND(OR(O60="DELIVERED",O60="PARTIAL"),J60&lt;&gt;TRUE),AND(OR(E60="CASH",E60="DAY CHEQUE",E60="POST DATED CHQ"),I60&lt;&gt;TRUE),AND(OR(E60="CASH",E60="DAY CHEQUE",E60="POST DATED CHQ"),K60&lt;&gt;TRUE),AND(E60="POST DATED CHQ",ISBLANK(M60)),P60=TRUE,Q60=TRUE,AND(R60=TRUE,OR(ISBLANK(S60),ISBLANK(T60))),AND(E60="ONLINE",V60&lt;&gt;TRUE),AND(I60=TRUE,U60&lt;&gt;TRUE)),TRUE,FALSE)</x:f>
      </x:c>
      <x:c r="X60" s="22" t="n"/>
    </x:row>
    <x:row r="61">
      <x:c r="A61" s="22" t="n"/>
      <x:c r="B61" s="22" t="n"/>
      <x:c r="C61" s="22" t="n"/>
      <x:c r="D61" s="22" t="n"/>
      <x:c r="E61" s="22" t="n"/>
      <x:c r="F61" s="23" t="n"/>
      <x:c r="G61" s="23" t="n"/>
      <x:c r="H61" s="24">
        <x:f>IF(OR(ISBLANK(F61),ISBLANK(G61)),"",G61-F61)</x:f>
      </x:c>
      <x:c r="I61" s="25" t="n"/>
      <x:c r="J61" s="25" t="n"/>
      <x:c r="K61" s="25" t="n"/>
      <x:c r="L61" s="22" t="n"/>
      <x:c r="M61" s="22" t="n"/>
      <x:c r="N61" s="22" t="n"/>
      <x:c r="O61" s="22" t="n"/>
      <x:c r="P61" s="25" t="n"/>
      <x:c r="Q61" s="25" t="n"/>
      <x:c r="R61" s="25" t="n"/>
      <x:c r="S61" s="22" t="n"/>
      <x:c r="T61" s="23" t="n"/>
      <x:c r="U61" s="25" t="n"/>
      <x:c r="V61" s="25" t="n"/>
      <x:c r="W61" s="25">
        <x:f>IF(OR(AND(OR(O61="DELIVERED",O61="PARTIAL"),J61&lt;&gt;TRUE),AND(OR(E61="CASH",E61="DAY CHEQUE",E61="POST DATED CHQ"),I61&lt;&gt;TRUE),AND(OR(E61="CASH",E61="DAY CHEQUE",E61="POST DATED CHQ"),K61&lt;&gt;TRUE),AND(E61="POST DATED CHQ",ISBLANK(M61)),P61=TRUE,Q61=TRUE,AND(R61=TRUE,OR(ISBLANK(S61),ISBLANK(T61))),AND(E61="ONLINE",V61&lt;&gt;TRUE),AND(I61=TRUE,U61&lt;&gt;TRUE)),TRUE,FALSE)</x:f>
      </x:c>
      <x:c r="X61" s="22" t="n"/>
    </x:row>
    <x:row r="62">
      <x:c r="A62" s="22" t="n"/>
      <x:c r="B62" s="22" t="n"/>
      <x:c r="C62" s="22" t="n"/>
      <x:c r="D62" s="22" t="n"/>
      <x:c r="E62" s="22" t="n"/>
      <x:c r="F62" s="23" t="n"/>
      <x:c r="G62" s="23" t="n"/>
      <x:c r="H62" s="24">
        <x:f>IF(OR(ISBLANK(F62),ISBLANK(G62)),"",G62-F62)</x:f>
      </x:c>
      <x:c r="I62" s="25" t="n"/>
      <x:c r="J62" s="25" t="n"/>
      <x:c r="K62" s="25" t="n"/>
      <x:c r="L62" s="22" t="n"/>
      <x:c r="M62" s="22" t="n"/>
      <x:c r="N62" s="22" t="n"/>
      <x:c r="O62" s="22" t="n"/>
      <x:c r="P62" s="25" t="n"/>
      <x:c r="Q62" s="25" t="n"/>
      <x:c r="R62" s="25" t="n"/>
      <x:c r="S62" s="22" t="n"/>
      <x:c r="T62" s="23" t="n"/>
      <x:c r="U62" s="25" t="n"/>
      <x:c r="V62" s="25" t="n"/>
      <x:c r="W62" s="25">
        <x:f>IF(OR(AND(OR(O62="DELIVERED",O62="PARTIAL"),J62&lt;&gt;TRUE),AND(OR(E62="CASH",E62="DAY CHEQUE",E62="POST DATED CHQ"),I62&lt;&gt;TRUE),AND(OR(E62="CASH",E62="DAY CHEQUE",E62="POST DATED CHQ"),K62&lt;&gt;TRUE),AND(E62="POST DATED CHQ",ISBLANK(M62)),P62=TRUE,Q62=TRUE,AND(R62=TRUE,OR(ISBLANK(S62),ISBLANK(T62))),AND(E62="ONLINE",V62&lt;&gt;TRUE),AND(I62=TRUE,U62&lt;&gt;TRUE)),TRUE,FALSE)</x:f>
      </x:c>
      <x:c r="X62" s="22" t="n"/>
    </x:row>
    <x:row r="63">
      <x:c r="A63" s="22" t="n"/>
      <x:c r="B63" s="22" t="n"/>
      <x:c r="C63" s="22" t="n"/>
      <x:c r="D63" s="22" t="n"/>
      <x:c r="E63" s="22" t="n"/>
      <x:c r="F63" s="23" t="n"/>
      <x:c r="G63" s="23" t="n"/>
      <x:c r="H63" s="24">
        <x:f>IF(OR(ISBLANK(F63),ISBLANK(G63)),"",G63-F63)</x:f>
      </x:c>
      <x:c r="I63" s="25" t="n"/>
      <x:c r="J63" s="25" t="n"/>
      <x:c r="K63" s="25" t="n"/>
      <x:c r="L63" s="22" t="n"/>
      <x:c r="M63" s="22" t="n"/>
      <x:c r="N63" s="22" t="n"/>
      <x:c r="O63" s="22" t="n"/>
      <x:c r="P63" s="25" t="n"/>
      <x:c r="Q63" s="25" t="n"/>
      <x:c r="R63" s="25" t="n"/>
      <x:c r="S63" s="22" t="n"/>
      <x:c r="T63" s="23" t="n"/>
      <x:c r="U63" s="25" t="n"/>
      <x:c r="V63" s="25" t="n"/>
      <x:c r="W63" s="25">
        <x:f>IF(OR(AND(OR(O63="DELIVERED",O63="PARTIAL"),J63&lt;&gt;TRUE),AND(OR(E63="CASH",E63="DAY CHEQUE",E63="POST DATED CHQ"),I63&lt;&gt;TRUE),AND(OR(E63="CASH",E63="DAY CHEQUE",E63="POST DATED CHQ"),K63&lt;&gt;TRUE),AND(E63="POST DATED CHQ",ISBLANK(M63)),P63=TRUE,Q63=TRUE,AND(R63=TRUE,OR(ISBLANK(S63),ISBLANK(T63))),AND(E63="ONLINE",V63&lt;&gt;TRUE),AND(I63=TRUE,U63&lt;&gt;TRUE)),TRUE,FALSE)</x:f>
      </x:c>
      <x:c r="X63" s="22" t="n"/>
    </x:row>
    <x:row r="64">
      <x:c r="A64" s="22" t="n"/>
      <x:c r="B64" s="22" t="n"/>
      <x:c r="C64" s="22" t="n"/>
      <x:c r="D64" s="22" t="n"/>
      <x:c r="E64" s="22" t="n"/>
      <x:c r="F64" s="23" t="n"/>
      <x:c r="G64" s="23" t="n"/>
      <x:c r="H64" s="24">
        <x:f>IF(OR(ISBLANK(F64),ISBLANK(G64)),"",G64-F64)</x:f>
      </x:c>
      <x:c r="I64" s="25" t="n"/>
      <x:c r="J64" s="25" t="n"/>
      <x:c r="K64" s="25" t="n"/>
      <x:c r="L64" s="22" t="n"/>
      <x:c r="M64" s="22" t="n"/>
      <x:c r="N64" s="22" t="n"/>
      <x:c r="O64" s="22" t="n"/>
      <x:c r="P64" s="25" t="n"/>
      <x:c r="Q64" s="25" t="n"/>
      <x:c r="R64" s="25" t="n"/>
      <x:c r="S64" s="22" t="n"/>
      <x:c r="T64" s="23" t="n"/>
      <x:c r="U64" s="25" t="n"/>
      <x:c r="V64" s="25" t="n"/>
      <x:c r="W64" s="25">
        <x:f>IF(OR(AND(OR(O64="DELIVERED",O64="PARTIAL"),J64&lt;&gt;TRUE),AND(OR(E64="CASH",E64="DAY CHEQUE",E64="POST DATED CHQ"),I64&lt;&gt;TRUE),AND(OR(E64="CASH",E64="DAY CHEQUE",E64="POST DATED CHQ"),K64&lt;&gt;TRUE),AND(E64="POST DATED CHQ",ISBLANK(M64)),P64=TRUE,Q64=TRUE,AND(R64=TRUE,OR(ISBLANK(S64),ISBLANK(T64))),AND(E64="ONLINE",V64&lt;&gt;TRUE),AND(I64=TRUE,U64&lt;&gt;TRUE)),TRUE,FALSE)</x:f>
      </x:c>
      <x:c r="X64" s="22" t="n"/>
    </x:row>
    <x:row r="65">
      <x:c r="A65" s="22" t="n"/>
      <x:c r="B65" s="22" t="n"/>
      <x:c r="C65" s="22" t="n"/>
      <x:c r="D65" s="22" t="n"/>
      <x:c r="E65" s="22" t="n"/>
      <x:c r="F65" s="23" t="n"/>
      <x:c r="G65" s="23" t="n"/>
      <x:c r="H65" s="24">
        <x:f>IF(OR(ISBLANK(F65),ISBLANK(G65)),"",G65-F65)</x:f>
      </x:c>
      <x:c r="I65" s="25" t="n"/>
      <x:c r="J65" s="25" t="n"/>
      <x:c r="K65" s="25" t="n"/>
      <x:c r="L65" s="22" t="n"/>
      <x:c r="M65" s="22" t="n"/>
      <x:c r="N65" s="22" t="n"/>
      <x:c r="O65" s="22" t="n"/>
      <x:c r="P65" s="25" t="n"/>
      <x:c r="Q65" s="25" t="n"/>
      <x:c r="R65" s="25" t="n"/>
      <x:c r="S65" s="22" t="n"/>
      <x:c r="T65" s="23" t="n"/>
      <x:c r="U65" s="25" t="n"/>
      <x:c r="V65" s="25" t="n"/>
      <x:c r="W65" s="25">
        <x:f>IF(OR(AND(OR(O65="DELIVERED",O65="PARTIAL"),J65&lt;&gt;TRUE),AND(OR(E65="CASH",E65="DAY CHEQUE",E65="POST DATED CHQ"),I65&lt;&gt;TRUE),AND(OR(E65="CASH",E65="DAY CHEQUE",E65="POST DATED CHQ"),K65&lt;&gt;TRUE),AND(E65="POST DATED CHQ",ISBLANK(M65)),P65=TRUE,Q65=TRUE,AND(R65=TRUE,OR(ISBLANK(S65),ISBLANK(T65))),AND(E65="ONLINE",V65&lt;&gt;TRUE),AND(I65=TRUE,U65&lt;&gt;TRUE)),TRUE,FALSE)</x:f>
      </x:c>
      <x:c r="X65" s="22" t="n"/>
    </x:row>
    <x:row r="66">
      <x:c r="A66" s="22" t="n"/>
      <x:c r="B66" s="22" t="n"/>
      <x:c r="C66" s="22" t="n"/>
      <x:c r="D66" s="22" t="n"/>
      <x:c r="E66" s="22" t="n"/>
      <x:c r="F66" s="23" t="n"/>
      <x:c r="G66" s="23" t="n"/>
      <x:c r="H66" s="24">
        <x:f>IF(OR(ISBLANK(F66),ISBLANK(G66)),"",G66-F66)</x:f>
      </x:c>
      <x:c r="I66" s="25" t="n"/>
      <x:c r="J66" s="25" t="n"/>
      <x:c r="K66" s="25" t="n"/>
      <x:c r="L66" s="22" t="n"/>
      <x:c r="M66" s="22" t="n"/>
      <x:c r="N66" s="22" t="n"/>
      <x:c r="O66" s="22" t="n"/>
      <x:c r="P66" s="25" t="n"/>
      <x:c r="Q66" s="25" t="n"/>
      <x:c r="R66" s="25" t="n"/>
      <x:c r="S66" s="22" t="n"/>
      <x:c r="T66" s="23" t="n"/>
      <x:c r="U66" s="25" t="n"/>
      <x:c r="V66" s="25" t="n"/>
      <x:c r="W66" s="25">
        <x:f>IF(OR(AND(OR(O66="DELIVERED",O66="PARTIAL"),J66&lt;&gt;TRUE),AND(OR(E66="CASH",E66="DAY CHEQUE",E66="POST DATED CHQ"),I66&lt;&gt;TRUE),AND(OR(E66="CASH",E66="DAY CHEQUE",E66="POST DATED CHQ"),K66&lt;&gt;TRUE),AND(E66="POST DATED CHQ",ISBLANK(M66)),P66=TRUE,Q66=TRUE,AND(R66=TRUE,OR(ISBLANK(S66),ISBLANK(T66))),AND(E66="ONLINE",V66&lt;&gt;TRUE),AND(I66=TRUE,U66&lt;&gt;TRUE)),TRUE,FALSE)</x:f>
      </x:c>
      <x:c r="X66" s="22" t="n"/>
    </x:row>
    <x:row r="67">
      <x:c r="A67" s="22" t="n"/>
      <x:c r="B67" s="22" t="n"/>
      <x:c r="C67" s="22" t="n"/>
      <x:c r="D67" s="22" t="n"/>
      <x:c r="E67" s="22" t="n"/>
      <x:c r="F67" s="23" t="n"/>
      <x:c r="G67" s="23" t="n"/>
      <x:c r="H67" s="24">
        <x:f>IF(OR(ISBLANK(F67),ISBLANK(G67)),"",G67-F67)</x:f>
      </x:c>
      <x:c r="I67" s="25" t="n"/>
      <x:c r="J67" s="25" t="n"/>
      <x:c r="K67" s="25" t="n"/>
      <x:c r="L67" s="22" t="n"/>
      <x:c r="M67" s="22" t="n"/>
      <x:c r="N67" s="22" t="n"/>
      <x:c r="O67" s="22" t="n"/>
      <x:c r="P67" s="25" t="n"/>
      <x:c r="Q67" s="25" t="n"/>
      <x:c r="R67" s="25" t="n"/>
      <x:c r="S67" s="22" t="n"/>
      <x:c r="T67" s="23" t="n"/>
      <x:c r="U67" s="25" t="n"/>
      <x:c r="V67" s="25" t="n"/>
      <x:c r="W67" s="25">
        <x:f>IF(OR(AND(OR(O67="DELIVERED",O67="PARTIAL"),J67&lt;&gt;TRUE),AND(OR(E67="CASH",E67="DAY CHEQUE",E67="POST DATED CHQ"),I67&lt;&gt;TRUE),AND(OR(E67="CASH",E67="DAY CHEQUE",E67="POST DATED CHQ"),K67&lt;&gt;TRUE),AND(E67="POST DATED CHQ",ISBLANK(M67)),P67=TRUE,Q67=TRUE,AND(R67=TRUE,OR(ISBLANK(S67),ISBLANK(T67))),AND(E67="ONLINE",V67&lt;&gt;TRUE),AND(I67=TRUE,U67&lt;&gt;TRUE)),TRUE,FALSE)</x:f>
      </x:c>
      <x:c r="X67" s="22" t="n"/>
    </x:row>
    <x:row r="68">
      <x:c r="A68" s="22" t="n"/>
      <x:c r="B68" s="22" t="n"/>
      <x:c r="C68" s="22" t="n"/>
      <x:c r="D68" s="22" t="n"/>
      <x:c r="E68" s="22" t="n"/>
      <x:c r="F68" s="23" t="n"/>
      <x:c r="G68" s="23" t="n"/>
      <x:c r="H68" s="24">
        <x:f>IF(OR(ISBLANK(F68),ISBLANK(G68)),"",G68-F68)</x:f>
      </x:c>
      <x:c r="I68" s="25" t="n"/>
      <x:c r="J68" s="25" t="n"/>
      <x:c r="K68" s="25" t="n"/>
      <x:c r="L68" s="22" t="n"/>
      <x:c r="M68" s="22" t="n"/>
      <x:c r="N68" s="22" t="n"/>
      <x:c r="O68" s="22" t="n"/>
      <x:c r="P68" s="25" t="n"/>
      <x:c r="Q68" s="25" t="n"/>
      <x:c r="R68" s="25" t="n"/>
      <x:c r="S68" s="22" t="n"/>
      <x:c r="T68" s="23" t="n"/>
      <x:c r="U68" s="25" t="n"/>
      <x:c r="V68" s="25" t="n"/>
      <x:c r="W68" s="25">
        <x:f>IF(OR(AND(OR(O68="DELIVERED",O68="PARTIAL"),J68&lt;&gt;TRUE),AND(OR(E68="CASH",E68="DAY CHEQUE",E68="POST DATED CHQ"),I68&lt;&gt;TRUE),AND(OR(E68="CASH",E68="DAY CHEQUE",E68="POST DATED CHQ"),K68&lt;&gt;TRUE),AND(E68="POST DATED CHQ",ISBLANK(M68)),P68=TRUE,Q68=TRUE,AND(R68=TRUE,OR(ISBLANK(S68),ISBLANK(T68))),AND(E68="ONLINE",V68&lt;&gt;TRUE),AND(I68=TRUE,U68&lt;&gt;TRUE)),TRUE,FALSE)</x:f>
      </x:c>
      <x:c r="X68" s="22" t="n"/>
    </x:row>
    <x:row r="69">
      <x:c r="A69" s="22" t="n"/>
      <x:c r="B69" s="22" t="n"/>
      <x:c r="C69" s="22" t="n"/>
      <x:c r="D69" s="22" t="n"/>
      <x:c r="E69" s="22" t="n"/>
      <x:c r="F69" s="23" t="n"/>
      <x:c r="G69" s="23" t="n"/>
      <x:c r="H69" s="24">
        <x:f>IF(OR(ISBLANK(F69),ISBLANK(G69)),"",G69-F69)</x:f>
      </x:c>
      <x:c r="I69" s="25" t="n"/>
      <x:c r="J69" s="25" t="n"/>
      <x:c r="K69" s="25" t="n"/>
      <x:c r="L69" s="22" t="n"/>
      <x:c r="M69" s="22" t="n"/>
      <x:c r="N69" s="22" t="n"/>
      <x:c r="O69" s="22" t="n"/>
      <x:c r="P69" s="25" t="n"/>
      <x:c r="Q69" s="25" t="n"/>
      <x:c r="R69" s="25" t="n"/>
      <x:c r="S69" s="22" t="n"/>
      <x:c r="T69" s="23" t="n"/>
      <x:c r="U69" s="25" t="n"/>
      <x:c r="V69" s="25" t="n"/>
      <x:c r="W69" s="25">
        <x:f>IF(OR(AND(OR(O69="DELIVERED",O69="PARTIAL"),J69&lt;&gt;TRUE),AND(OR(E69="CASH",E69="DAY CHEQUE",E69="POST DATED CHQ"),I69&lt;&gt;TRUE),AND(OR(E69="CASH",E69="DAY CHEQUE",E69="POST DATED CHQ"),K69&lt;&gt;TRUE),AND(E69="POST DATED CHQ",ISBLANK(M69)),P69=TRUE,Q69=TRUE,AND(R69=TRUE,OR(ISBLANK(S69),ISBLANK(T69))),AND(E69="ONLINE",V69&lt;&gt;TRUE),AND(I69=TRUE,U69&lt;&gt;TRUE)),TRUE,FALSE)</x:f>
      </x:c>
      <x:c r="X69" s="22" t="n"/>
    </x:row>
    <x:row r="70">
      <x:c r="A70" s="22" t="n"/>
      <x:c r="B70" s="22" t="n"/>
      <x:c r="C70" s="22" t="n"/>
      <x:c r="D70" s="22" t="n"/>
      <x:c r="E70" s="22" t="n"/>
      <x:c r="F70" s="23" t="n"/>
      <x:c r="G70" s="23" t="n"/>
      <x:c r="H70" s="24">
        <x:f>IF(OR(ISBLANK(F70),ISBLANK(G70)),"",G70-F70)</x:f>
      </x:c>
      <x:c r="I70" s="25" t="n"/>
      <x:c r="J70" s="25" t="n"/>
      <x:c r="K70" s="25" t="n"/>
      <x:c r="L70" s="22" t="n"/>
      <x:c r="M70" s="22" t="n"/>
      <x:c r="N70" s="22" t="n"/>
      <x:c r="O70" s="22" t="n"/>
      <x:c r="P70" s="25" t="n"/>
      <x:c r="Q70" s="25" t="n"/>
      <x:c r="R70" s="25" t="n"/>
      <x:c r="S70" s="22" t="n"/>
      <x:c r="T70" s="23" t="n"/>
      <x:c r="U70" s="25" t="n"/>
      <x:c r="V70" s="25" t="n"/>
      <x:c r="W70" s="25">
        <x:f>IF(OR(AND(OR(O70="DELIVERED",O70="PARTIAL"),J70&lt;&gt;TRUE),AND(OR(E70="CASH",E70="DAY CHEQUE",E70="POST DATED CHQ"),I70&lt;&gt;TRUE),AND(OR(E70="CASH",E70="DAY CHEQUE",E70="POST DATED CHQ"),K70&lt;&gt;TRUE),AND(E70="POST DATED CHQ",ISBLANK(M70)),P70=TRUE,Q70=TRUE,AND(R70=TRUE,OR(ISBLANK(S70),ISBLANK(T70))),AND(E70="ONLINE",V70&lt;&gt;TRUE),AND(I70=TRUE,U70&lt;&gt;TRUE)),TRUE,FALSE)</x:f>
      </x:c>
      <x:c r="X70" s="22" t="n"/>
    </x:row>
    <x:row r="71">
      <x:c r="A71" s="22" t="n"/>
      <x:c r="B71" s="22" t="n"/>
      <x:c r="C71" s="22" t="n"/>
      <x:c r="D71" s="22" t="n"/>
      <x:c r="E71" s="22" t="n"/>
      <x:c r="F71" s="23" t="n"/>
      <x:c r="G71" s="23" t="n"/>
      <x:c r="H71" s="24">
        <x:f>IF(OR(ISBLANK(F71),ISBLANK(G71)),"",G71-F71)</x:f>
      </x:c>
      <x:c r="I71" s="25" t="n"/>
      <x:c r="J71" s="25" t="n"/>
      <x:c r="K71" s="25" t="n"/>
      <x:c r="L71" s="22" t="n"/>
      <x:c r="M71" s="22" t="n"/>
      <x:c r="N71" s="22" t="n"/>
      <x:c r="O71" s="22" t="n"/>
      <x:c r="P71" s="25" t="n"/>
      <x:c r="Q71" s="25" t="n"/>
      <x:c r="R71" s="25" t="n"/>
      <x:c r="S71" s="22" t="n"/>
      <x:c r="T71" s="23" t="n"/>
      <x:c r="U71" s="25" t="n"/>
      <x:c r="V71" s="25" t="n"/>
      <x:c r="W71" s="25">
        <x:f>IF(OR(AND(OR(O71="DELIVERED",O71="PARTIAL"),J71&lt;&gt;TRUE),AND(OR(E71="CASH",E71="DAY CHEQUE",E71="POST DATED CHQ"),I71&lt;&gt;TRUE),AND(OR(E71="CASH",E71="DAY CHEQUE",E71="POST DATED CHQ"),K71&lt;&gt;TRUE),AND(E71="POST DATED CHQ",ISBLANK(M71)),P71=TRUE,Q71=TRUE,AND(R71=TRUE,OR(ISBLANK(S71),ISBLANK(T71))),AND(E71="ONLINE",V71&lt;&gt;TRUE),AND(I71=TRUE,U71&lt;&gt;TRUE)),TRUE,FALSE)</x:f>
      </x:c>
      <x:c r="X71" s="22" t="n"/>
    </x:row>
    <x:row r="72">
      <x:c r="A72" s="22" t="n"/>
      <x:c r="B72" s="22" t="n"/>
      <x:c r="C72" s="22" t="n"/>
      <x:c r="D72" s="22" t="n"/>
      <x:c r="E72" s="22" t="n"/>
      <x:c r="F72" s="23" t="n"/>
      <x:c r="G72" s="23" t="n"/>
      <x:c r="H72" s="24">
        <x:f>IF(OR(ISBLANK(F72),ISBLANK(G72)),"",G72-F72)</x:f>
      </x:c>
      <x:c r="I72" s="25" t="n"/>
      <x:c r="J72" s="25" t="n"/>
      <x:c r="K72" s="25" t="n"/>
      <x:c r="L72" s="22" t="n"/>
      <x:c r="M72" s="22" t="n"/>
      <x:c r="N72" s="22" t="n"/>
      <x:c r="O72" s="22" t="n"/>
      <x:c r="P72" s="25" t="n"/>
      <x:c r="Q72" s="25" t="n"/>
      <x:c r="R72" s="25" t="n"/>
      <x:c r="S72" s="22" t="n"/>
      <x:c r="T72" s="23" t="n"/>
      <x:c r="U72" s="25" t="n"/>
      <x:c r="V72" s="25" t="n"/>
      <x:c r="W72" s="25">
        <x:f>IF(OR(AND(OR(O72="DELIVERED",O72="PARTIAL"),J72&lt;&gt;TRUE),AND(OR(E72="CASH",E72="DAY CHEQUE",E72="POST DATED CHQ"),I72&lt;&gt;TRUE),AND(OR(E72="CASH",E72="DAY CHEQUE",E72="POST DATED CHQ"),K72&lt;&gt;TRUE),AND(E72="POST DATED CHQ",ISBLANK(M72)),P72=TRUE,Q72=TRUE,AND(R72=TRUE,OR(ISBLANK(S72),ISBLANK(T72))),AND(E72="ONLINE",V72&lt;&gt;TRUE),AND(I72=TRUE,U72&lt;&gt;TRUE)),TRUE,FALSE)</x:f>
      </x:c>
      <x:c r="X72" s="22" t="n"/>
    </x:row>
    <x:row r="73">
      <x:c r="A73" s="22" t="n"/>
      <x:c r="B73" s="22" t="n"/>
      <x:c r="C73" s="22" t="n"/>
      <x:c r="D73" s="22" t="n"/>
      <x:c r="E73" s="22" t="n"/>
      <x:c r="F73" s="23" t="n"/>
      <x:c r="G73" s="23" t="n"/>
      <x:c r="H73" s="24">
        <x:f>IF(OR(ISBLANK(F73),ISBLANK(G73)),"",G73-F73)</x:f>
      </x:c>
      <x:c r="I73" s="25" t="n"/>
      <x:c r="J73" s="25" t="n"/>
      <x:c r="K73" s="25" t="n"/>
      <x:c r="L73" s="22" t="n"/>
      <x:c r="M73" s="22" t="n"/>
      <x:c r="N73" s="22" t="n"/>
      <x:c r="O73" s="22" t="n"/>
      <x:c r="P73" s="25" t="n"/>
      <x:c r="Q73" s="25" t="n"/>
      <x:c r="R73" s="25" t="n"/>
      <x:c r="S73" s="22" t="n"/>
      <x:c r="T73" s="23" t="n"/>
      <x:c r="U73" s="25" t="n"/>
      <x:c r="V73" s="25" t="n"/>
      <x:c r="W73" s="25">
        <x:f>IF(OR(AND(OR(O73="DELIVERED",O73="PARTIAL"),J73&lt;&gt;TRUE),AND(OR(E73="CASH",E73="DAY CHEQUE",E73="POST DATED CHQ"),I73&lt;&gt;TRUE),AND(OR(E73="CASH",E73="DAY CHEQUE",E73="POST DATED CHQ"),K73&lt;&gt;TRUE),AND(E73="POST DATED CHQ",ISBLANK(M73)),P73=TRUE,Q73=TRUE,AND(R73=TRUE,OR(ISBLANK(S73),ISBLANK(T73))),AND(E73="ONLINE",V73&lt;&gt;TRUE),AND(I73=TRUE,U73&lt;&gt;TRUE)),TRUE,FALSE)</x:f>
      </x:c>
      <x:c r="X73" s="22" t="n"/>
    </x:row>
    <x:row r="74">
      <x:c r="A74" s="22" t="n"/>
      <x:c r="B74" s="22" t="n"/>
      <x:c r="C74" s="22" t="n"/>
      <x:c r="D74" s="22" t="n"/>
      <x:c r="E74" s="22" t="n"/>
      <x:c r="F74" s="23" t="n"/>
      <x:c r="G74" s="23" t="n"/>
      <x:c r="H74" s="24">
        <x:f>IF(OR(ISBLANK(F74),ISBLANK(G74)),"",G74-F74)</x:f>
      </x:c>
      <x:c r="I74" s="25" t="n"/>
      <x:c r="J74" s="25" t="n"/>
      <x:c r="K74" s="25" t="n"/>
      <x:c r="L74" s="22" t="n"/>
      <x:c r="M74" s="22" t="n"/>
      <x:c r="N74" s="22" t="n"/>
      <x:c r="O74" s="22" t="n"/>
      <x:c r="P74" s="25" t="n"/>
      <x:c r="Q74" s="25" t="n"/>
      <x:c r="R74" s="25" t="n"/>
      <x:c r="S74" s="22" t="n"/>
      <x:c r="T74" s="23" t="n"/>
      <x:c r="U74" s="25" t="n"/>
      <x:c r="V74" s="25" t="n"/>
      <x:c r="W74" s="25">
        <x:f>IF(OR(AND(OR(O74="DELIVERED",O74="PARTIAL"),J74&lt;&gt;TRUE),AND(OR(E74="CASH",E74="DAY CHEQUE",E74="POST DATED CHQ"),I74&lt;&gt;TRUE),AND(OR(E74="CASH",E74="DAY CHEQUE",E74="POST DATED CHQ"),K74&lt;&gt;TRUE),AND(E74="POST DATED CHQ",ISBLANK(M74)),P74=TRUE,Q74=TRUE,AND(R74=TRUE,OR(ISBLANK(S74),ISBLANK(T74))),AND(E74="ONLINE",V74&lt;&gt;TRUE),AND(I74=TRUE,U74&lt;&gt;TRUE)),TRUE,FALSE)</x:f>
      </x:c>
      <x:c r="X74" s="22" t="n"/>
    </x:row>
    <x:row r="75">
      <x:c r="A75" s="22" t="n"/>
      <x:c r="B75" s="22" t="n"/>
      <x:c r="C75" s="22" t="n"/>
      <x:c r="D75" s="22" t="n"/>
      <x:c r="E75" s="22" t="n"/>
      <x:c r="F75" s="23" t="n"/>
      <x:c r="G75" s="23" t="n"/>
      <x:c r="H75" s="24">
        <x:f>IF(OR(ISBLANK(F75),ISBLANK(G75)),"",G75-F75)</x:f>
      </x:c>
      <x:c r="I75" s="25" t="n"/>
      <x:c r="J75" s="25" t="n"/>
      <x:c r="K75" s="25" t="n"/>
      <x:c r="L75" s="22" t="n"/>
      <x:c r="M75" s="22" t="n"/>
      <x:c r="N75" s="22" t="n"/>
      <x:c r="O75" s="22" t="n"/>
      <x:c r="P75" s="25" t="n"/>
      <x:c r="Q75" s="25" t="n"/>
      <x:c r="R75" s="25" t="n"/>
      <x:c r="S75" s="22" t="n"/>
      <x:c r="T75" s="23" t="n"/>
      <x:c r="U75" s="25" t="n"/>
      <x:c r="V75" s="25" t="n"/>
      <x:c r="W75" s="25">
        <x:f>IF(OR(AND(OR(O75="DELIVERED",O75="PARTIAL"),J75&lt;&gt;TRUE),AND(OR(E75="CASH",E75="DAY CHEQUE",E75="POST DATED CHQ"),I75&lt;&gt;TRUE),AND(OR(E75="CASH",E75="DAY CHEQUE",E75="POST DATED CHQ"),K75&lt;&gt;TRUE),AND(E75="POST DATED CHQ",ISBLANK(M75)),P75=TRUE,Q75=TRUE,AND(R75=TRUE,OR(ISBLANK(S75),ISBLANK(T75))),AND(E75="ONLINE",V75&lt;&gt;TRUE),AND(I75=TRUE,U75&lt;&gt;TRUE)),TRUE,FALSE)</x:f>
      </x:c>
      <x:c r="X75" s="22" t="n"/>
    </x:row>
    <x:row r="76">
      <x:c r="A76" s="22" t="n"/>
      <x:c r="B76" s="22" t="n"/>
      <x:c r="C76" s="22" t="n"/>
      <x:c r="D76" s="22" t="n"/>
      <x:c r="E76" s="22" t="n"/>
      <x:c r="F76" s="23" t="n"/>
      <x:c r="G76" s="23" t="n"/>
      <x:c r="H76" s="24">
        <x:f>IF(OR(ISBLANK(F76),ISBLANK(G76)),"",G76-F76)</x:f>
      </x:c>
      <x:c r="I76" s="25" t="n"/>
      <x:c r="J76" s="25" t="n"/>
      <x:c r="K76" s="25" t="n"/>
      <x:c r="L76" s="22" t="n"/>
      <x:c r="M76" s="22" t="n"/>
      <x:c r="N76" s="22" t="n"/>
      <x:c r="O76" s="22" t="n"/>
      <x:c r="P76" s="25" t="n"/>
      <x:c r="Q76" s="25" t="n"/>
      <x:c r="R76" s="25" t="n"/>
      <x:c r="S76" s="22" t="n"/>
      <x:c r="T76" s="23" t="n"/>
      <x:c r="U76" s="25" t="n"/>
      <x:c r="V76" s="25" t="n"/>
      <x:c r="W76" s="25">
        <x:f>IF(OR(AND(OR(O76="DELIVERED",O76="PARTIAL"),J76&lt;&gt;TRUE),AND(OR(E76="CASH",E76="DAY CHEQUE",E76="POST DATED CHQ"),I76&lt;&gt;TRUE),AND(OR(E76="CASH",E76="DAY CHEQUE",E76="POST DATED CHQ"),K76&lt;&gt;TRUE),AND(E76="POST DATED CHQ",ISBLANK(M76)),P76=TRUE,Q76=TRUE,AND(R76=TRUE,OR(ISBLANK(S76),ISBLANK(T76))),AND(E76="ONLINE",V76&lt;&gt;TRUE),AND(I76=TRUE,U76&lt;&gt;TRUE)),TRUE,FALSE)</x:f>
      </x:c>
      <x:c r="X76" s="22" t="n"/>
    </x:row>
    <x:row r="77">
      <x:c r="A77" s="22" t="n"/>
      <x:c r="B77" s="22" t="n"/>
      <x:c r="C77" s="22" t="n"/>
      <x:c r="D77" s="22" t="n"/>
      <x:c r="E77" s="22" t="n"/>
      <x:c r="F77" s="23" t="n"/>
      <x:c r="G77" s="23" t="n"/>
      <x:c r="H77" s="24">
        <x:f>IF(OR(ISBLANK(F77),ISBLANK(G77)),"",G77-F77)</x:f>
      </x:c>
      <x:c r="I77" s="25" t="n"/>
      <x:c r="J77" s="25" t="n"/>
      <x:c r="K77" s="25" t="n"/>
      <x:c r="L77" s="22" t="n"/>
      <x:c r="M77" s="22" t="n"/>
      <x:c r="N77" s="22" t="n"/>
      <x:c r="O77" s="22" t="n"/>
      <x:c r="P77" s="25" t="n"/>
      <x:c r="Q77" s="25" t="n"/>
      <x:c r="R77" s="25" t="n"/>
      <x:c r="S77" s="22" t="n"/>
      <x:c r="T77" s="23" t="n"/>
      <x:c r="U77" s="25" t="n"/>
      <x:c r="V77" s="25" t="n"/>
      <x:c r="W77" s="25">
        <x:f>IF(OR(AND(OR(O77="DELIVERED",O77="PARTIAL"),J77&lt;&gt;TRUE),AND(OR(E77="CASH",E77="DAY CHEQUE",E77="POST DATED CHQ"),I77&lt;&gt;TRUE),AND(OR(E77="CASH",E77="DAY CHEQUE",E77="POST DATED CHQ"),K77&lt;&gt;TRUE),AND(E77="POST DATED CHQ",ISBLANK(M77)),P77=TRUE,Q77=TRUE,AND(R77=TRUE,OR(ISBLANK(S77),ISBLANK(T77))),AND(E77="ONLINE",V77&lt;&gt;TRUE),AND(I77=TRUE,U77&lt;&gt;TRUE)),TRUE,FALSE)</x:f>
      </x:c>
      <x:c r="X77" s="22" t="n"/>
    </x:row>
    <x:row r="78">
      <x:c r="A78" s="22" t="n"/>
      <x:c r="B78" s="22" t="n"/>
      <x:c r="C78" s="22" t="n"/>
      <x:c r="D78" s="22" t="n"/>
      <x:c r="E78" s="22" t="n"/>
      <x:c r="F78" s="23" t="n"/>
      <x:c r="G78" s="23" t="n"/>
      <x:c r="H78" s="24">
        <x:f>IF(OR(ISBLANK(F78),ISBLANK(G78)),"",G78-F78)</x:f>
      </x:c>
      <x:c r="I78" s="25" t="n"/>
      <x:c r="J78" s="25" t="n"/>
      <x:c r="K78" s="25" t="n"/>
      <x:c r="L78" s="22" t="n"/>
      <x:c r="M78" s="22" t="n"/>
      <x:c r="N78" s="22" t="n"/>
      <x:c r="O78" s="22" t="n"/>
      <x:c r="P78" s="25" t="n"/>
      <x:c r="Q78" s="25" t="n"/>
      <x:c r="R78" s="25" t="n"/>
      <x:c r="S78" s="22" t="n"/>
      <x:c r="T78" s="23" t="n"/>
      <x:c r="U78" s="25" t="n"/>
      <x:c r="V78" s="25" t="n"/>
      <x:c r="W78" s="25">
        <x:f>IF(OR(AND(OR(O78="DELIVERED",O78="PARTIAL"),J78&lt;&gt;TRUE),AND(OR(E78="CASH",E78="DAY CHEQUE",E78="POST DATED CHQ"),I78&lt;&gt;TRUE),AND(OR(E78="CASH",E78="DAY CHEQUE",E78="POST DATED CHQ"),K78&lt;&gt;TRUE),AND(E78="POST DATED CHQ",ISBLANK(M78)),P78=TRUE,Q78=TRUE,AND(R78=TRUE,OR(ISBLANK(S78),ISBLANK(T78))),AND(E78="ONLINE",V78&lt;&gt;TRUE),AND(I78=TRUE,U78&lt;&gt;TRUE)),TRUE,FALSE)</x:f>
      </x:c>
      <x:c r="X78" s="22" t="n"/>
    </x:row>
    <x:row r="79">
      <x:c r="A79" s="22" t="n"/>
      <x:c r="B79" s="22" t="n"/>
      <x:c r="C79" s="22" t="n"/>
      <x:c r="D79" s="22" t="n"/>
      <x:c r="E79" s="22" t="n"/>
      <x:c r="F79" s="23" t="n"/>
      <x:c r="G79" s="23" t="n"/>
      <x:c r="H79" s="24">
        <x:f>IF(OR(ISBLANK(F79),ISBLANK(G79)),"",G79-F79)</x:f>
      </x:c>
      <x:c r="I79" s="25" t="n"/>
      <x:c r="J79" s="25" t="n"/>
      <x:c r="K79" s="25" t="n"/>
      <x:c r="L79" s="22" t="n"/>
      <x:c r="M79" s="22" t="n"/>
      <x:c r="N79" s="22" t="n"/>
      <x:c r="O79" s="22" t="n"/>
      <x:c r="P79" s="25" t="n"/>
      <x:c r="Q79" s="25" t="n"/>
      <x:c r="R79" s="25" t="n"/>
      <x:c r="S79" s="22" t="n"/>
      <x:c r="T79" s="23" t="n"/>
      <x:c r="U79" s="25" t="n"/>
      <x:c r="V79" s="25" t="n"/>
      <x:c r="W79" s="25">
        <x:f>IF(OR(AND(OR(O79="DELIVERED",O79="PARTIAL"),J79&lt;&gt;TRUE),AND(OR(E79="CASH",E79="DAY CHEQUE",E79="POST DATED CHQ"),I79&lt;&gt;TRUE),AND(OR(E79="CASH",E79="DAY CHEQUE",E79="POST DATED CHQ"),K79&lt;&gt;TRUE),AND(E79="POST DATED CHQ",ISBLANK(M79)),P79=TRUE,Q79=TRUE,AND(R79=TRUE,OR(ISBLANK(S79),ISBLANK(T79))),AND(E79="ONLINE",V79&lt;&gt;TRUE),AND(I79=TRUE,U79&lt;&gt;TRUE)),TRUE,FALSE)</x:f>
      </x:c>
      <x:c r="X79" s="22" t="n"/>
    </x:row>
    <x:row r="80">
      <x:c r="A80" s="22" t="n"/>
      <x:c r="B80" s="22" t="n"/>
      <x:c r="C80" s="22" t="n"/>
      <x:c r="D80" s="22" t="n"/>
      <x:c r="E80" s="22" t="n"/>
      <x:c r="F80" s="23" t="n"/>
      <x:c r="G80" s="23" t="n"/>
      <x:c r="H80" s="24">
        <x:f>IF(OR(ISBLANK(F80),ISBLANK(G80)),"",G80-F80)</x:f>
      </x:c>
      <x:c r="I80" s="25" t="n"/>
      <x:c r="J80" s="25" t="n"/>
      <x:c r="K80" s="25" t="n"/>
      <x:c r="L80" s="22" t="n"/>
      <x:c r="M80" s="22" t="n"/>
      <x:c r="N80" s="22" t="n"/>
      <x:c r="O80" s="22" t="n"/>
      <x:c r="P80" s="25" t="n"/>
      <x:c r="Q80" s="25" t="n"/>
      <x:c r="R80" s="25" t="n"/>
      <x:c r="S80" s="22" t="n"/>
      <x:c r="T80" s="23" t="n"/>
      <x:c r="U80" s="25" t="n"/>
      <x:c r="V80" s="25" t="n"/>
      <x:c r="W80" s="25">
        <x:f>IF(OR(AND(OR(O80="DELIVERED",O80="PARTIAL"),J80&lt;&gt;TRUE),AND(OR(E80="CASH",E80="DAY CHEQUE",E80="POST DATED CHQ"),I80&lt;&gt;TRUE),AND(OR(E80="CASH",E80="DAY CHEQUE",E80="POST DATED CHQ"),K80&lt;&gt;TRUE),AND(E80="POST DATED CHQ",ISBLANK(M80)),P80=TRUE,Q80=TRUE,AND(R80=TRUE,OR(ISBLANK(S80),ISBLANK(T80))),AND(E80="ONLINE",V80&lt;&gt;TRUE),AND(I80=TRUE,U80&lt;&gt;TRUE)),TRUE,FALSE)</x:f>
      </x:c>
      <x:c r="X80" s="22" t="n"/>
    </x:row>
    <x:row r="81">
      <x:c r="A81" s="22" t="n"/>
      <x:c r="B81" s="22" t="n"/>
      <x:c r="C81" s="22" t="n"/>
      <x:c r="D81" s="22" t="n"/>
      <x:c r="E81" s="22" t="n"/>
      <x:c r="F81" s="23" t="n"/>
      <x:c r="G81" s="23" t="n"/>
      <x:c r="H81" s="24">
        <x:f>IF(OR(ISBLANK(F81),ISBLANK(G81)),"",G81-F81)</x:f>
      </x:c>
      <x:c r="I81" s="25" t="n"/>
      <x:c r="J81" s="25" t="n"/>
      <x:c r="K81" s="25" t="n"/>
      <x:c r="L81" s="22" t="n"/>
      <x:c r="M81" s="22" t="n"/>
      <x:c r="N81" s="22" t="n"/>
      <x:c r="O81" s="22" t="n"/>
      <x:c r="P81" s="25" t="n"/>
      <x:c r="Q81" s="25" t="n"/>
      <x:c r="R81" s="25" t="n"/>
      <x:c r="S81" s="22" t="n"/>
      <x:c r="T81" s="23" t="n"/>
      <x:c r="U81" s="25" t="n"/>
      <x:c r="V81" s="25" t="n"/>
      <x:c r="W81" s="25">
        <x:f>IF(OR(AND(OR(O81="DELIVERED",O81="PARTIAL"),J81&lt;&gt;TRUE),AND(OR(E81="CASH",E81="DAY CHEQUE",E81="POST DATED CHQ"),I81&lt;&gt;TRUE),AND(OR(E81="CASH",E81="DAY CHEQUE",E81="POST DATED CHQ"),K81&lt;&gt;TRUE),AND(E81="POST DATED CHQ",ISBLANK(M81)),P81=TRUE,Q81=TRUE,AND(R81=TRUE,OR(ISBLANK(S81),ISBLANK(T81))),AND(E81="ONLINE",V81&lt;&gt;TRUE),AND(I81=TRUE,U81&lt;&gt;TRUE)),TRUE,FALSE)</x:f>
      </x:c>
      <x:c r="X81" s="22" t="n"/>
    </x:row>
    <x:row r="82">
      <x:c r="A82" s="22" t="n"/>
      <x:c r="B82" s="22" t="n"/>
      <x:c r="C82" s="22" t="n"/>
      <x:c r="D82" s="22" t="n"/>
      <x:c r="E82" s="22" t="n"/>
      <x:c r="F82" s="23" t="n"/>
      <x:c r="G82" s="23" t="n"/>
      <x:c r="H82" s="24">
        <x:f>IF(OR(ISBLANK(F82),ISBLANK(G82)),"",G82-F82)</x:f>
      </x:c>
      <x:c r="I82" s="25" t="n"/>
      <x:c r="J82" s="25" t="n"/>
      <x:c r="K82" s="25" t="n"/>
      <x:c r="L82" s="22" t="n"/>
      <x:c r="M82" s="22" t="n"/>
      <x:c r="N82" s="22" t="n"/>
      <x:c r="O82" s="22" t="n"/>
      <x:c r="P82" s="25" t="n"/>
      <x:c r="Q82" s="25" t="n"/>
      <x:c r="R82" s="25" t="n"/>
      <x:c r="S82" s="22" t="n"/>
      <x:c r="T82" s="23" t="n"/>
      <x:c r="U82" s="25" t="n"/>
      <x:c r="V82" s="25" t="n"/>
      <x:c r="W82" s="25">
        <x:f>IF(OR(AND(OR(O82="DELIVERED",O82="PARTIAL"),J82&lt;&gt;TRUE),AND(OR(E82="CASH",E82="DAY CHEQUE",E82="POST DATED CHQ"),I82&lt;&gt;TRUE),AND(OR(E82="CASH",E82="DAY CHEQUE",E82="POST DATED CHQ"),K82&lt;&gt;TRUE),AND(E82="POST DATED CHQ",ISBLANK(M82)),P82=TRUE,Q82=TRUE,AND(R82=TRUE,OR(ISBLANK(S82),ISBLANK(T82))),AND(E82="ONLINE",V82&lt;&gt;TRUE),AND(I82=TRUE,U82&lt;&gt;TRUE)),TRUE,FALSE)</x:f>
      </x:c>
      <x:c r="X82" s="22" t="n"/>
    </x:row>
    <x:row r="83">
      <x:c r="A83" s="22" t="n"/>
      <x:c r="B83" s="22" t="n"/>
      <x:c r="C83" s="22" t="n"/>
      <x:c r="D83" s="22" t="n"/>
      <x:c r="E83" s="22" t="n"/>
      <x:c r="F83" s="23" t="n"/>
      <x:c r="G83" s="23" t="n"/>
      <x:c r="H83" s="24">
        <x:f>IF(OR(ISBLANK(F83),ISBLANK(G83)),"",G83-F83)</x:f>
      </x:c>
      <x:c r="I83" s="25" t="n"/>
      <x:c r="J83" s="25" t="n"/>
      <x:c r="K83" s="25" t="n"/>
      <x:c r="L83" s="22" t="n"/>
      <x:c r="M83" s="22" t="n"/>
      <x:c r="N83" s="22" t="n"/>
      <x:c r="O83" s="22" t="n"/>
      <x:c r="P83" s="25" t="n"/>
      <x:c r="Q83" s="25" t="n"/>
      <x:c r="R83" s="25" t="n"/>
      <x:c r="S83" s="22" t="n"/>
      <x:c r="T83" s="23" t="n"/>
      <x:c r="U83" s="25" t="n"/>
      <x:c r="V83" s="25" t="n"/>
      <x:c r="W83" s="25">
        <x:f>IF(OR(AND(OR(O83="DELIVERED",O83="PARTIAL"),J83&lt;&gt;TRUE),AND(OR(E83="CASH",E83="DAY CHEQUE",E83="POST DATED CHQ"),I83&lt;&gt;TRUE),AND(OR(E83="CASH",E83="DAY CHEQUE",E83="POST DATED CHQ"),K83&lt;&gt;TRUE),AND(E83="POST DATED CHQ",ISBLANK(M83)),P83=TRUE,Q83=TRUE,AND(R83=TRUE,OR(ISBLANK(S83),ISBLANK(T83))),AND(E83="ONLINE",V83&lt;&gt;TRUE),AND(I83=TRUE,U83&lt;&gt;TRUE)),TRUE,FALSE)</x:f>
      </x:c>
      <x:c r="X83" s="22" t="n"/>
    </x:row>
    <x:row r="84">
      <x:c r="A84" s="22" t="n"/>
      <x:c r="B84" s="22" t="n"/>
      <x:c r="C84" s="22" t="n"/>
      <x:c r="D84" s="22" t="n"/>
      <x:c r="E84" s="22" t="n"/>
      <x:c r="F84" s="23" t="n"/>
      <x:c r="G84" s="23" t="n"/>
      <x:c r="H84" s="24">
        <x:f>IF(OR(ISBLANK(F84),ISBLANK(G84)),"",G84-F84)</x:f>
      </x:c>
      <x:c r="I84" s="25" t="n"/>
      <x:c r="J84" s="25" t="n"/>
      <x:c r="K84" s="25" t="n"/>
      <x:c r="L84" s="22" t="n"/>
      <x:c r="M84" s="22" t="n"/>
      <x:c r="N84" s="22" t="n"/>
      <x:c r="O84" s="22" t="n"/>
      <x:c r="P84" s="25" t="n"/>
      <x:c r="Q84" s="25" t="n"/>
      <x:c r="R84" s="25" t="n"/>
      <x:c r="S84" s="22" t="n"/>
      <x:c r="T84" s="23" t="n"/>
      <x:c r="U84" s="25" t="n"/>
      <x:c r="V84" s="25" t="n"/>
      <x:c r="W84" s="25">
        <x:f>IF(OR(AND(OR(O84="DELIVERED",O84="PARTIAL"),J84&lt;&gt;TRUE),AND(OR(E84="CASH",E84="DAY CHEQUE",E84="POST DATED CHQ"),I84&lt;&gt;TRUE),AND(OR(E84="CASH",E84="DAY CHEQUE",E84="POST DATED CHQ"),K84&lt;&gt;TRUE),AND(E84="POST DATED CHQ",ISBLANK(M84)),P84=TRUE,Q84=TRUE,AND(R84=TRUE,OR(ISBLANK(S84),ISBLANK(T84))),AND(E84="ONLINE",V84&lt;&gt;TRUE),AND(I84=TRUE,U84&lt;&gt;TRUE)),TRUE,FALSE)</x:f>
      </x:c>
      <x:c r="X84" s="22" t="n"/>
    </x:row>
    <x:row r="85">
      <x:c r="A85" s="22" t="n"/>
      <x:c r="B85" s="22" t="n"/>
      <x:c r="C85" s="22" t="n"/>
      <x:c r="D85" s="22" t="n"/>
      <x:c r="E85" s="22" t="n"/>
      <x:c r="F85" s="23" t="n"/>
      <x:c r="G85" s="23" t="n"/>
      <x:c r="H85" s="24">
        <x:f>IF(OR(ISBLANK(F85),ISBLANK(G85)),"",G85-F85)</x:f>
      </x:c>
      <x:c r="I85" s="25" t="n"/>
      <x:c r="J85" s="25" t="n"/>
      <x:c r="K85" s="25" t="n"/>
      <x:c r="L85" s="22" t="n"/>
      <x:c r="M85" s="22" t="n"/>
      <x:c r="N85" s="22" t="n"/>
      <x:c r="O85" s="22" t="n"/>
      <x:c r="P85" s="25" t="n"/>
      <x:c r="Q85" s="25" t="n"/>
      <x:c r="R85" s="25" t="n"/>
      <x:c r="S85" s="22" t="n"/>
      <x:c r="T85" s="23" t="n"/>
      <x:c r="U85" s="25" t="n"/>
      <x:c r="V85" s="25" t="n"/>
      <x:c r="W85" s="25">
        <x:f>IF(OR(AND(OR(O85="DELIVERED",O85="PARTIAL"),J85&lt;&gt;TRUE),AND(OR(E85="CASH",E85="DAY CHEQUE",E85="POST DATED CHQ"),I85&lt;&gt;TRUE),AND(OR(E85="CASH",E85="DAY CHEQUE",E85="POST DATED CHQ"),K85&lt;&gt;TRUE),AND(E85="POST DATED CHQ",ISBLANK(M85)),P85=TRUE,Q85=TRUE,AND(R85=TRUE,OR(ISBLANK(S85),ISBLANK(T85))),AND(E85="ONLINE",V85&lt;&gt;TRUE),AND(I85=TRUE,U85&lt;&gt;TRUE)),TRUE,FALSE)</x:f>
      </x:c>
      <x:c r="X85" s="22" t="n"/>
    </x:row>
    <x:row r="86">
      <x:c r="A86" s="22" t="n"/>
      <x:c r="B86" s="22" t="n"/>
      <x:c r="C86" s="22" t="n"/>
      <x:c r="D86" s="22" t="n"/>
      <x:c r="E86" s="22" t="n"/>
      <x:c r="F86" s="23" t="n"/>
      <x:c r="G86" s="23" t="n"/>
      <x:c r="H86" s="24">
        <x:f>IF(OR(ISBLANK(F86),ISBLANK(G86)),"",G86-F86)</x:f>
      </x:c>
      <x:c r="I86" s="25" t="n"/>
      <x:c r="J86" s="25" t="n"/>
      <x:c r="K86" s="25" t="n"/>
      <x:c r="L86" s="22" t="n"/>
      <x:c r="M86" s="22" t="n"/>
      <x:c r="N86" s="22" t="n"/>
      <x:c r="O86" s="22" t="n"/>
      <x:c r="P86" s="25" t="n"/>
      <x:c r="Q86" s="25" t="n"/>
      <x:c r="R86" s="25" t="n"/>
      <x:c r="S86" s="22" t="n"/>
      <x:c r="T86" s="23" t="n"/>
      <x:c r="U86" s="25" t="n"/>
      <x:c r="V86" s="25" t="n"/>
      <x:c r="W86" s="25">
        <x:f>IF(OR(AND(OR(O86="DELIVERED",O86="PARTIAL"),J86&lt;&gt;TRUE),AND(OR(E86="CASH",E86="DAY CHEQUE",E86="POST DATED CHQ"),I86&lt;&gt;TRUE),AND(OR(E86="CASH",E86="DAY CHEQUE",E86="POST DATED CHQ"),K86&lt;&gt;TRUE),AND(E86="POST DATED CHQ",ISBLANK(M86)),P86=TRUE,Q86=TRUE,AND(R86=TRUE,OR(ISBLANK(S86),ISBLANK(T86))),AND(E86="ONLINE",V86&lt;&gt;TRUE),AND(I86=TRUE,U86&lt;&gt;TRUE)),TRUE,FALSE)</x:f>
      </x:c>
      <x:c r="X86" s="22" t="n"/>
    </x:row>
    <x:row r="87">
      <x:c r="A87" s="22" t="n"/>
      <x:c r="B87" s="22" t="n"/>
      <x:c r="C87" s="22" t="n"/>
      <x:c r="D87" s="22" t="n"/>
      <x:c r="E87" s="22" t="n"/>
      <x:c r="F87" s="23" t="n"/>
      <x:c r="G87" s="23" t="n"/>
      <x:c r="H87" s="24">
        <x:f>IF(OR(ISBLANK(F87),ISBLANK(G87)),"",G87-F87)</x:f>
      </x:c>
      <x:c r="I87" s="25" t="n"/>
      <x:c r="J87" s="25" t="n"/>
      <x:c r="K87" s="25" t="n"/>
      <x:c r="L87" s="22" t="n"/>
      <x:c r="M87" s="22" t="n"/>
      <x:c r="N87" s="22" t="n"/>
      <x:c r="O87" s="22" t="n"/>
      <x:c r="P87" s="25" t="n"/>
      <x:c r="Q87" s="25" t="n"/>
      <x:c r="R87" s="25" t="n"/>
      <x:c r="S87" s="22" t="n"/>
      <x:c r="T87" s="23" t="n"/>
      <x:c r="U87" s="25" t="n"/>
      <x:c r="V87" s="25" t="n"/>
      <x:c r="W87" s="25">
        <x:f>IF(OR(AND(OR(O87="DELIVERED",O87="PARTIAL"),J87&lt;&gt;TRUE),AND(OR(E87="CASH",E87="DAY CHEQUE",E87="POST DATED CHQ"),I87&lt;&gt;TRUE),AND(OR(E87="CASH",E87="DAY CHEQUE",E87="POST DATED CHQ"),K87&lt;&gt;TRUE),AND(E87="POST DATED CHQ",ISBLANK(M87)),P87=TRUE,Q87=TRUE,AND(R87=TRUE,OR(ISBLANK(S87),ISBLANK(T87))),AND(E87="ONLINE",V87&lt;&gt;TRUE),AND(I87=TRUE,U87&lt;&gt;TRUE)),TRUE,FALSE)</x:f>
      </x:c>
      <x:c r="X87" s="22" t="n"/>
    </x:row>
    <x:row r="88">
      <x:c r="A88" s="22" t="n"/>
      <x:c r="B88" s="22" t="n"/>
      <x:c r="C88" s="22" t="n"/>
      <x:c r="D88" s="22" t="n"/>
      <x:c r="E88" s="22" t="n"/>
      <x:c r="F88" s="23" t="n"/>
      <x:c r="G88" s="23" t="n"/>
      <x:c r="H88" s="24">
        <x:f>IF(OR(ISBLANK(F88),ISBLANK(G88)),"",G88-F88)</x:f>
      </x:c>
      <x:c r="I88" s="25" t="n"/>
      <x:c r="J88" s="25" t="n"/>
      <x:c r="K88" s="25" t="n"/>
      <x:c r="L88" s="22" t="n"/>
      <x:c r="M88" s="22" t="n"/>
      <x:c r="N88" s="22" t="n"/>
      <x:c r="O88" s="22" t="n"/>
      <x:c r="P88" s="25" t="n"/>
      <x:c r="Q88" s="25" t="n"/>
      <x:c r="R88" s="25" t="n"/>
      <x:c r="S88" s="22" t="n"/>
      <x:c r="T88" s="23" t="n"/>
      <x:c r="U88" s="25" t="n"/>
      <x:c r="V88" s="25" t="n"/>
      <x:c r="W88" s="25">
        <x:f>IF(OR(AND(OR(O88="DELIVERED",O88="PARTIAL"),J88&lt;&gt;TRUE),AND(OR(E88="CASH",E88="DAY CHEQUE",E88="POST DATED CHQ"),I88&lt;&gt;TRUE),AND(OR(E88="CASH",E88="DAY CHEQUE",E88="POST DATED CHQ"),K88&lt;&gt;TRUE),AND(E88="POST DATED CHQ",ISBLANK(M88)),P88=TRUE,Q88=TRUE,AND(R88=TRUE,OR(ISBLANK(S88),ISBLANK(T88))),AND(E88="ONLINE",V88&lt;&gt;TRUE),AND(I88=TRUE,U88&lt;&gt;TRUE)),TRUE,FALSE)</x:f>
      </x:c>
      <x:c r="X88" s="22" t="n"/>
    </x:row>
    <x:row r="89">
      <x:c r="A89" s="22" t="n"/>
      <x:c r="B89" s="22" t="n"/>
      <x:c r="C89" s="22" t="n"/>
      <x:c r="D89" s="22" t="n"/>
      <x:c r="E89" s="22" t="n"/>
      <x:c r="F89" s="23" t="n"/>
      <x:c r="G89" s="23" t="n"/>
      <x:c r="H89" s="24">
        <x:f>IF(OR(ISBLANK(F89),ISBLANK(G89)),"",G89-F89)</x:f>
      </x:c>
      <x:c r="I89" s="25" t="n"/>
      <x:c r="J89" s="25" t="n"/>
      <x:c r="K89" s="25" t="n"/>
      <x:c r="L89" s="22" t="n"/>
      <x:c r="M89" s="22" t="n"/>
      <x:c r="N89" s="22" t="n"/>
      <x:c r="O89" s="22" t="n"/>
      <x:c r="P89" s="25" t="n"/>
      <x:c r="Q89" s="25" t="n"/>
      <x:c r="R89" s="25" t="n"/>
      <x:c r="S89" s="22" t="n"/>
      <x:c r="T89" s="23" t="n"/>
      <x:c r="U89" s="25" t="n"/>
      <x:c r="V89" s="25" t="n"/>
      <x:c r="W89" s="25">
        <x:f>IF(OR(AND(OR(O89="DELIVERED",O89="PARTIAL"),J89&lt;&gt;TRUE),AND(OR(E89="CASH",E89="DAY CHEQUE",E89="POST DATED CHQ"),I89&lt;&gt;TRUE),AND(OR(E89="CASH",E89="DAY CHEQUE",E89="POST DATED CHQ"),K89&lt;&gt;TRUE),AND(E89="POST DATED CHQ",ISBLANK(M89)),P89=TRUE,Q89=TRUE,AND(R89=TRUE,OR(ISBLANK(S89),ISBLANK(T89))),AND(E89="ONLINE",V89&lt;&gt;TRUE),AND(I89=TRUE,U89&lt;&gt;TRUE)),TRUE,FALSE)</x:f>
      </x:c>
      <x:c r="X89" s="22" t="n"/>
    </x:row>
    <x:row r="90">
      <x:c r="A90" s="22" t="n"/>
      <x:c r="B90" s="22" t="n"/>
      <x:c r="C90" s="22" t="n"/>
      <x:c r="D90" s="22" t="n"/>
      <x:c r="E90" s="22" t="n"/>
      <x:c r="F90" s="23" t="n"/>
      <x:c r="G90" s="23" t="n"/>
      <x:c r="H90" s="24">
        <x:f>IF(OR(ISBLANK(F90),ISBLANK(G90)),"",G90-F90)</x:f>
      </x:c>
      <x:c r="I90" s="25" t="n"/>
      <x:c r="J90" s="25" t="n"/>
      <x:c r="K90" s="25" t="n"/>
      <x:c r="L90" s="22" t="n"/>
      <x:c r="M90" s="22" t="n"/>
      <x:c r="N90" s="22" t="n"/>
      <x:c r="O90" s="22" t="n"/>
      <x:c r="P90" s="25" t="n"/>
      <x:c r="Q90" s="25" t="n"/>
      <x:c r="R90" s="25" t="n"/>
      <x:c r="S90" s="22" t="n"/>
      <x:c r="T90" s="23" t="n"/>
      <x:c r="U90" s="25" t="n"/>
      <x:c r="V90" s="25" t="n"/>
      <x:c r="W90" s="25">
        <x:f>IF(OR(AND(OR(O90="DELIVERED",O90="PARTIAL"),J90&lt;&gt;TRUE),AND(OR(E90="CASH",E90="DAY CHEQUE",E90="POST DATED CHQ"),I90&lt;&gt;TRUE),AND(OR(E90="CASH",E90="DAY CHEQUE",E90="POST DATED CHQ"),K90&lt;&gt;TRUE),AND(E90="POST DATED CHQ",ISBLANK(M90)),P90=TRUE,Q90=TRUE,AND(R90=TRUE,OR(ISBLANK(S90),ISBLANK(T90))),AND(E90="ONLINE",V90&lt;&gt;TRUE),AND(I90=TRUE,U90&lt;&gt;TRUE)),TRUE,FALSE)</x:f>
      </x:c>
      <x:c r="X90" s="22" t="n"/>
    </x:row>
    <x:row r="91">
      <x:c r="A91" s="22" t="n"/>
      <x:c r="B91" s="22" t="n"/>
      <x:c r="C91" s="22" t="n"/>
      <x:c r="D91" s="22" t="n"/>
      <x:c r="E91" s="22" t="n"/>
      <x:c r="F91" s="23" t="n"/>
      <x:c r="G91" s="23" t="n"/>
      <x:c r="H91" s="24">
        <x:f>IF(OR(ISBLANK(F91),ISBLANK(G91)),"",G91-F91)</x:f>
      </x:c>
      <x:c r="I91" s="25" t="n"/>
      <x:c r="J91" s="25" t="n"/>
      <x:c r="K91" s="25" t="n"/>
      <x:c r="L91" s="22" t="n"/>
      <x:c r="M91" s="22" t="n"/>
      <x:c r="N91" s="22" t="n"/>
      <x:c r="O91" s="22" t="n"/>
      <x:c r="P91" s="25" t="n"/>
      <x:c r="Q91" s="25" t="n"/>
      <x:c r="R91" s="25" t="n"/>
      <x:c r="S91" s="22" t="n"/>
      <x:c r="T91" s="23" t="n"/>
      <x:c r="U91" s="25" t="n"/>
      <x:c r="V91" s="25" t="n"/>
      <x:c r="W91" s="25">
        <x:f>IF(OR(AND(OR(O91="DELIVERED",O91="PARTIAL"),J91&lt;&gt;TRUE),AND(OR(E91="CASH",E91="DAY CHEQUE",E91="POST DATED CHQ"),I91&lt;&gt;TRUE),AND(OR(E91="CASH",E91="DAY CHEQUE",E91="POST DATED CHQ"),K91&lt;&gt;TRUE),AND(E91="POST DATED CHQ",ISBLANK(M91)),P91=TRUE,Q91=TRUE,AND(R91=TRUE,OR(ISBLANK(S91),ISBLANK(T91))),AND(E91="ONLINE",V91&lt;&gt;TRUE),AND(I91=TRUE,U91&lt;&gt;TRUE)),TRUE,FALSE)</x:f>
      </x:c>
      <x:c r="X91" s="22" t="n"/>
    </x:row>
    <x:row r="92">
      <x:c r="A92" s="22" t="n"/>
      <x:c r="B92" s="22" t="n"/>
      <x:c r="C92" s="22" t="n"/>
      <x:c r="D92" s="22" t="n"/>
      <x:c r="E92" s="22" t="n"/>
      <x:c r="F92" s="23" t="n"/>
      <x:c r="G92" s="23" t="n"/>
      <x:c r="H92" s="24">
        <x:f>IF(OR(ISBLANK(F92),ISBLANK(G92)),"",G92-F92)</x:f>
      </x:c>
      <x:c r="I92" s="25" t="n"/>
      <x:c r="J92" s="25" t="n"/>
      <x:c r="K92" s="25" t="n"/>
      <x:c r="L92" s="22" t="n"/>
      <x:c r="M92" s="22" t="n"/>
      <x:c r="N92" s="22" t="n"/>
      <x:c r="O92" s="22" t="n"/>
      <x:c r="P92" s="25" t="n"/>
      <x:c r="Q92" s="25" t="n"/>
      <x:c r="R92" s="25" t="n"/>
      <x:c r="S92" s="22" t="n"/>
      <x:c r="T92" s="23" t="n"/>
      <x:c r="U92" s="25" t="n"/>
      <x:c r="V92" s="25" t="n"/>
      <x:c r="W92" s="25">
        <x:f>IF(OR(AND(OR(O92="DELIVERED",O92="PARTIAL"),J92&lt;&gt;TRUE),AND(OR(E92="CASH",E92="DAY CHEQUE",E92="POST DATED CHQ"),I92&lt;&gt;TRUE),AND(OR(E92="CASH",E92="DAY CHEQUE",E92="POST DATED CHQ"),K92&lt;&gt;TRUE),AND(E92="POST DATED CHQ",ISBLANK(M92)),P92=TRUE,Q92=TRUE,AND(R92=TRUE,OR(ISBLANK(S92),ISBLANK(T92))),AND(E92="ONLINE",V92&lt;&gt;TRUE),AND(I92=TRUE,U92&lt;&gt;TRUE)),TRUE,FALSE)</x:f>
      </x:c>
      <x:c r="X92" s="22" t="n"/>
    </x:row>
    <x:row r="93">
      <x:c r="A93" s="22" t="n"/>
      <x:c r="B93" s="22" t="n"/>
      <x:c r="C93" s="22" t="n"/>
      <x:c r="D93" s="22" t="n"/>
      <x:c r="E93" s="22" t="n"/>
      <x:c r="F93" s="23" t="n"/>
      <x:c r="G93" s="23" t="n"/>
      <x:c r="H93" s="24">
        <x:f>IF(OR(ISBLANK(F93),ISBLANK(G93)),"",G93-F93)</x:f>
      </x:c>
      <x:c r="I93" s="25" t="n"/>
      <x:c r="J93" s="25" t="n"/>
      <x:c r="K93" s="25" t="n"/>
      <x:c r="L93" s="22" t="n"/>
      <x:c r="M93" s="22" t="n"/>
      <x:c r="N93" s="22" t="n"/>
      <x:c r="O93" s="22" t="n"/>
      <x:c r="P93" s="25" t="n"/>
      <x:c r="Q93" s="25" t="n"/>
      <x:c r="R93" s="25" t="n"/>
      <x:c r="S93" s="22" t="n"/>
      <x:c r="T93" s="23" t="n"/>
      <x:c r="U93" s="25" t="n"/>
      <x:c r="V93" s="25" t="n"/>
      <x:c r="W93" s="25">
        <x:f>IF(OR(AND(OR(O93="DELIVERED",O93="PARTIAL"),J93&lt;&gt;TRUE),AND(OR(E93="CASH",E93="DAY CHEQUE",E93="POST DATED CHQ"),I93&lt;&gt;TRUE),AND(OR(E93="CASH",E93="DAY CHEQUE",E93="POST DATED CHQ"),K93&lt;&gt;TRUE),AND(E93="POST DATED CHQ",ISBLANK(M93)),P93=TRUE,Q93=TRUE,AND(R93=TRUE,OR(ISBLANK(S93),ISBLANK(T93))),AND(E93="ONLINE",V93&lt;&gt;TRUE),AND(I93=TRUE,U93&lt;&gt;TRUE)),TRUE,FALSE)</x:f>
      </x:c>
      <x:c r="X93" s="22" t="n"/>
    </x:row>
    <x:row r="94">
      <x:c r="A94" s="22" t="n"/>
      <x:c r="B94" s="22" t="n"/>
      <x:c r="C94" s="22" t="n"/>
      <x:c r="D94" s="22" t="n"/>
      <x:c r="E94" s="22" t="n"/>
      <x:c r="F94" s="23" t="n"/>
      <x:c r="G94" s="23" t="n"/>
      <x:c r="H94" s="24">
        <x:f>IF(OR(ISBLANK(F94),ISBLANK(G94)),"",G94-F94)</x:f>
      </x:c>
      <x:c r="I94" s="25" t="n"/>
      <x:c r="J94" s="25" t="n"/>
      <x:c r="K94" s="25" t="n"/>
      <x:c r="L94" s="22" t="n"/>
      <x:c r="M94" s="22" t="n"/>
      <x:c r="N94" s="22" t="n"/>
      <x:c r="O94" s="22" t="n"/>
      <x:c r="P94" s="25" t="n"/>
      <x:c r="Q94" s="25" t="n"/>
      <x:c r="R94" s="25" t="n"/>
      <x:c r="S94" s="22" t="n"/>
      <x:c r="T94" s="23" t="n"/>
      <x:c r="U94" s="25" t="n"/>
      <x:c r="V94" s="25" t="n"/>
      <x:c r="W94" s="25">
        <x:f>IF(OR(AND(OR(O94="DELIVERED",O94="PARTIAL"),J94&lt;&gt;TRUE),AND(OR(E94="CASH",E94="DAY CHEQUE",E94="POST DATED CHQ"),I94&lt;&gt;TRUE),AND(OR(E94="CASH",E94="DAY CHEQUE",E94="POST DATED CHQ"),K94&lt;&gt;TRUE),AND(E94="POST DATED CHQ",ISBLANK(M94)),P94=TRUE,Q94=TRUE,AND(R94=TRUE,OR(ISBLANK(S94),ISBLANK(T94))),AND(E94="ONLINE",V94&lt;&gt;TRUE),AND(I94=TRUE,U94&lt;&gt;TRUE)),TRUE,FALSE)</x:f>
      </x:c>
      <x:c r="X94" s="22" t="n"/>
    </x:row>
    <x:row r="95">
      <x:c r="A95" s="22" t="n"/>
      <x:c r="B95" s="22" t="n"/>
      <x:c r="C95" s="22" t="n"/>
      <x:c r="D95" s="22" t="n"/>
      <x:c r="E95" s="22" t="n"/>
      <x:c r="F95" s="23" t="n"/>
      <x:c r="G95" s="23" t="n"/>
      <x:c r="H95" s="24">
        <x:f>IF(OR(ISBLANK(F95),ISBLANK(G95)),"",G95-F95)</x:f>
      </x:c>
      <x:c r="I95" s="25" t="n"/>
      <x:c r="J95" s="25" t="n"/>
      <x:c r="K95" s="25" t="n"/>
      <x:c r="L95" s="22" t="n"/>
      <x:c r="M95" s="22" t="n"/>
      <x:c r="N95" s="22" t="n"/>
      <x:c r="O95" s="22" t="n"/>
      <x:c r="P95" s="25" t="n"/>
      <x:c r="Q95" s="25" t="n"/>
      <x:c r="R95" s="25" t="n"/>
      <x:c r="S95" s="22" t="n"/>
      <x:c r="T95" s="23" t="n"/>
      <x:c r="U95" s="25" t="n"/>
      <x:c r="V95" s="25" t="n"/>
      <x:c r="W95" s="25">
        <x:f>IF(OR(AND(OR(O95="DELIVERED",O95="PARTIAL"),J95&lt;&gt;TRUE),AND(OR(E95="CASH",E95="DAY CHEQUE",E95="POST DATED CHQ"),I95&lt;&gt;TRUE),AND(OR(E95="CASH",E95="DAY CHEQUE",E95="POST DATED CHQ"),K95&lt;&gt;TRUE),AND(E95="POST DATED CHQ",ISBLANK(M95)),P95=TRUE,Q95=TRUE,AND(R95=TRUE,OR(ISBLANK(S95),ISBLANK(T95))),AND(E95="ONLINE",V95&lt;&gt;TRUE),AND(I95=TRUE,U95&lt;&gt;TRUE)),TRUE,FALSE)</x:f>
      </x:c>
      <x:c r="X95" s="22" t="n"/>
    </x:row>
    <x:row r="96">
      <x:c r="A96" s="22" t="n"/>
      <x:c r="B96" s="22" t="n"/>
      <x:c r="C96" s="22" t="n"/>
      <x:c r="D96" s="22" t="n"/>
      <x:c r="E96" s="22" t="n"/>
      <x:c r="F96" s="23" t="n"/>
      <x:c r="G96" s="23" t="n"/>
      <x:c r="H96" s="24">
        <x:f>IF(OR(ISBLANK(F96),ISBLANK(G96)),"",G96-F96)</x:f>
      </x:c>
      <x:c r="I96" s="25" t="n"/>
      <x:c r="J96" s="25" t="n"/>
      <x:c r="K96" s="25" t="n"/>
      <x:c r="L96" s="22" t="n"/>
      <x:c r="M96" s="22" t="n"/>
      <x:c r="N96" s="22" t="n"/>
      <x:c r="O96" s="22" t="n"/>
      <x:c r="P96" s="25" t="n"/>
      <x:c r="Q96" s="25" t="n"/>
      <x:c r="R96" s="25" t="n"/>
      <x:c r="S96" s="22" t="n"/>
      <x:c r="T96" s="23" t="n"/>
      <x:c r="U96" s="25" t="n"/>
      <x:c r="V96" s="25" t="n"/>
      <x:c r="W96" s="25">
        <x:f>IF(OR(AND(OR(O96="DELIVERED",O96="PARTIAL"),J96&lt;&gt;TRUE),AND(OR(E96="CASH",E96="DAY CHEQUE",E96="POST DATED CHQ"),I96&lt;&gt;TRUE),AND(OR(E96="CASH",E96="DAY CHEQUE",E96="POST DATED CHQ"),K96&lt;&gt;TRUE),AND(E96="POST DATED CHQ",ISBLANK(M96)),P96=TRUE,Q96=TRUE,AND(R96=TRUE,OR(ISBLANK(S96),ISBLANK(T96))),AND(E96="ONLINE",V96&lt;&gt;TRUE),AND(I96=TRUE,U96&lt;&gt;TRUE)),TRUE,FALSE)</x:f>
      </x:c>
      <x:c r="X96" s="22" t="n"/>
    </x:row>
    <x:row r="97">
      <x:c r="A97" s="22" t="n"/>
      <x:c r="B97" s="22" t="n"/>
      <x:c r="C97" s="22" t="n"/>
      <x:c r="D97" s="22" t="n"/>
      <x:c r="E97" s="22" t="n"/>
      <x:c r="F97" s="23" t="n"/>
      <x:c r="G97" s="23" t="n"/>
      <x:c r="H97" s="24">
        <x:f>IF(OR(ISBLANK(F97),ISBLANK(G97)),"",G97-F97)</x:f>
      </x:c>
      <x:c r="I97" s="25" t="n"/>
      <x:c r="J97" s="25" t="n"/>
      <x:c r="K97" s="25" t="n"/>
      <x:c r="L97" s="22" t="n"/>
      <x:c r="M97" s="22" t="n"/>
      <x:c r="N97" s="22" t="n"/>
      <x:c r="O97" s="22" t="n"/>
      <x:c r="P97" s="25" t="n"/>
      <x:c r="Q97" s="25" t="n"/>
      <x:c r="R97" s="25" t="n"/>
      <x:c r="S97" s="22" t="n"/>
      <x:c r="T97" s="23" t="n"/>
      <x:c r="U97" s="25" t="n"/>
      <x:c r="V97" s="25" t="n"/>
      <x:c r="W97" s="25">
        <x:f>IF(OR(AND(OR(O97="DELIVERED",O97="PARTIAL"),J97&lt;&gt;TRUE),AND(OR(E97="CASH",E97="DAY CHEQUE",E97="POST DATED CHQ"),I97&lt;&gt;TRUE),AND(OR(E97="CASH",E97="DAY CHEQUE",E97="POST DATED CHQ"),K97&lt;&gt;TRUE),AND(E97="POST DATED CHQ",ISBLANK(M97)),P97=TRUE,Q97=TRUE,AND(R97=TRUE,OR(ISBLANK(S97),ISBLANK(T97))),AND(E97="ONLINE",V97&lt;&gt;TRUE),AND(I97=TRUE,U97&lt;&gt;TRUE)),TRUE,FALSE)</x:f>
      </x:c>
      <x:c r="X97" s="22" t="n"/>
    </x:row>
    <x:row r="98">
      <x:c r="A98" s="22" t="n"/>
      <x:c r="B98" s="22" t="n"/>
      <x:c r="C98" s="22" t="n"/>
      <x:c r="D98" s="22" t="n"/>
      <x:c r="E98" s="22" t="n"/>
      <x:c r="F98" s="23" t="n"/>
      <x:c r="G98" s="23" t="n"/>
      <x:c r="H98" s="24">
        <x:f>IF(OR(ISBLANK(F98),ISBLANK(G98)),"",G98-F98)</x:f>
      </x:c>
      <x:c r="I98" s="25" t="n"/>
      <x:c r="J98" s="25" t="n"/>
      <x:c r="K98" s="25" t="n"/>
      <x:c r="L98" s="22" t="n"/>
      <x:c r="M98" s="22" t="n"/>
      <x:c r="N98" s="22" t="n"/>
      <x:c r="O98" s="22" t="n"/>
      <x:c r="P98" s="25" t="n"/>
      <x:c r="Q98" s="25" t="n"/>
      <x:c r="R98" s="25" t="n"/>
      <x:c r="S98" s="22" t="n"/>
      <x:c r="T98" s="23" t="n"/>
      <x:c r="U98" s="25" t="n"/>
      <x:c r="V98" s="25" t="n"/>
      <x:c r="W98" s="25">
        <x:f>IF(OR(AND(OR(O98="DELIVERED",O98="PARTIAL"),J98&lt;&gt;TRUE),AND(OR(E98="CASH",E98="DAY CHEQUE",E98="POST DATED CHQ"),I98&lt;&gt;TRUE),AND(OR(E98="CASH",E98="DAY CHEQUE",E98="POST DATED CHQ"),K98&lt;&gt;TRUE),AND(E98="POST DATED CHQ",ISBLANK(M98)),P98=TRUE,Q98=TRUE,AND(R98=TRUE,OR(ISBLANK(S98),ISBLANK(T98))),AND(E98="ONLINE",V98&lt;&gt;TRUE),AND(I98=TRUE,U98&lt;&gt;TRUE)),TRUE,FALSE)</x:f>
      </x:c>
      <x:c r="X98" s="22" t="n"/>
    </x:row>
    <x:row r="99">
      <x:c r="A99" s="22" t="n"/>
      <x:c r="B99" s="22" t="n"/>
      <x:c r="C99" s="22" t="n"/>
      <x:c r="D99" s="22" t="n"/>
      <x:c r="E99" s="22" t="n"/>
      <x:c r="F99" s="23" t="n"/>
      <x:c r="G99" s="23" t="n"/>
      <x:c r="H99" s="24">
        <x:f>IF(OR(ISBLANK(F99),ISBLANK(G99)),"",G99-F99)</x:f>
      </x:c>
      <x:c r="I99" s="25" t="n"/>
      <x:c r="J99" s="25" t="n"/>
      <x:c r="K99" s="25" t="n"/>
      <x:c r="L99" s="22" t="n"/>
      <x:c r="M99" s="22" t="n"/>
      <x:c r="N99" s="22" t="n"/>
      <x:c r="O99" s="22" t="n"/>
      <x:c r="P99" s="25" t="n"/>
      <x:c r="Q99" s="25" t="n"/>
      <x:c r="R99" s="25" t="n"/>
      <x:c r="S99" s="22" t="n"/>
      <x:c r="T99" s="23" t="n"/>
      <x:c r="U99" s="25" t="n"/>
      <x:c r="V99" s="25" t="n"/>
      <x:c r="W99" s="25">
        <x:f>IF(OR(AND(OR(O99="DELIVERED",O99="PARTIAL"),J99&lt;&gt;TRUE),AND(OR(E99="CASH",E99="DAY CHEQUE",E99="POST DATED CHQ"),I99&lt;&gt;TRUE),AND(OR(E99="CASH",E99="DAY CHEQUE",E99="POST DATED CHQ"),K99&lt;&gt;TRUE),AND(E99="POST DATED CHQ",ISBLANK(M99)),P99=TRUE,Q99=TRUE,AND(R99=TRUE,OR(ISBLANK(S99),ISBLANK(T99))),AND(E99="ONLINE",V99&lt;&gt;TRUE),AND(I99=TRUE,U99&lt;&gt;TRUE)),TRUE,FALSE)</x:f>
      </x:c>
      <x:c r="X99" s="22" t="n"/>
    </x:row>
    <x:row r="100">
      <x:c r="A100" s="22" t="n"/>
      <x:c r="B100" s="22" t="n"/>
      <x:c r="C100" s="22" t="n"/>
      <x:c r="D100" s="22" t="n"/>
      <x:c r="E100" s="22" t="n"/>
      <x:c r="F100" s="23" t="n"/>
      <x:c r="G100" s="23" t="n"/>
      <x:c r="H100" s="24">
        <x:f>IF(OR(ISBLANK(F100),ISBLANK(G100)),"",G100-F100)</x:f>
      </x:c>
      <x:c r="I100" s="25" t="n"/>
      <x:c r="J100" s="25" t="n"/>
      <x:c r="K100" s="25" t="n"/>
      <x:c r="L100" s="22" t="n"/>
      <x:c r="M100" s="22" t="n"/>
      <x:c r="N100" s="22" t="n"/>
      <x:c r="O100" s="22" t="n"/>
      <x:c r="P100" s="25" t="n"/>
      <x:c r="Q100" s="25" t="n"/>
      <x:c r="R100" s="25" t="n"/>
      <x:c r="S100" s="22" t="n"/>
      <x:c r="T100" s="23" t="n"/>
      <x:c r="U100" s="25" t="n"/>
      <x:c r="V100" s="25" t="n"/>
      <x:c r="W100" s="25">
        <x:f>IF(OR(AND(OR(O100="DELIVERED",O100="PARTIAL"),J100&lt;&gt;TRUE),AND(OR(E100="CASH",E100="DAY CHEQUE",E100="POST DATED CHQ"),I100&lt;&gt;TRUE),AND(OR(E100="CASH",E100="DAY CHEQUE",E100="POST DATED CHQ"),K100&lt;&gt;TRUE),AND(E100="POST DATED CHQ",ISBLANK(M100)),P100=TRUE,Q100=TRUE,AND(R100=TRUE,OR(ISBLANK(S100),ISBLANK(T100))),AND(E100="ONLINE",V100&lt;&gt;TRUE),AND(I100=TRUE,U100&lt;&gt;TRUE)),TRUE,FALSE)</x:f>
      </x:c>
      <x:c r="X100" s="22" t="n"/>
    </x:row>
    <x:row r="101">
      <x:c r="A101" s="22" t="n"/>
      <x:c r="B101" s="22" t="n"/>
      <x:c r="C101" s="22" t="n"/>
      <x:c r="D101" s="22" t="n"/>
      <x:c r="E101" s="22" t="n"/>
      <x:c r="F101" s="23" t="n"/>
      <x:c r="G101" s="23" t="n"/>
      <x:c r="H101" s="24">
        <x:f>IF(OR(ISBLANK(F101),ISBLANK(G101)),"",G101-F101)</x:f>
      </x:c>
      <x:c r="I101" s="25" t="n"/>
      <x:c r="J101" s="25" t="n"/>
      <x:c r="K101" s="25" t="n"/>
      <x:c r="L101" s="22" t="n"/>
      <x:c r="M101" s="22" t="n"/>
      <x:c r="N101" s="22" t="n"/>
      <x:c r="O101" s="22" t="n"/>
      <x:c r="P101" s="25" t="n"/>
      <x:c r="Q101" s="25" t="n"/>
      <x:c r="R101" s="25" t="n"/>
      <x:c r="S101" s="22" t="n"/>
      <x:c r="T101" s="23" t="n"/>
      <x:c r="U101" s="25" t="n"/>
      <x:c r="V101" s="25" t="n"/>
      <x:c r="W101" s="25">
        <x:f>IF(OR(AND(OR(O101="DELIVERED",O101="PARTIAL"),J101&lt;&gt;TRUE),AND(OR(E101="CASH",E101="DAY CHEQUE",E101="POST DATED CHQ"),I101&lt;&gt;TRUE),AND(OR(E101="CASH",E101="DAY CHEQUE",E101="POST DATED CHQ"),K101&lt;&gt;TRUE),AND(E101="POST DATED CHQ",ISBLANK(M101)),P101=TRUE,Q101=TRUE,AND(R101=TRUE,OR(ISBLANK(S101),ISBLANK(T101))),AND(E101="ONLINE",V101&lt;&gt;TRUE),AND(I101=TRUE,U101&lt;&gt;TRUE)),TRUE,FALSE)</x:f>
      </x:c>
      <x:c r="X101" s="22" t="n"/>
    </x:row>
    <x:row r="102">
      <x:c r="A102" s="22" t="n"/>
      <x:c r="B102" s="22" t="n"/>
      <x:c r="C102" s="22" t="n"/>
      <x:c r="D102" s="22" t="n"/>
      <x:c r="E102" s="22" t="n"/>
      <x:c r="F102" s="23" t="n"/>
      <x:c r="G102" s="23" t="n"/>
      <x:c r="H102" s="24">
        <x:f>IF(OR(ISBLANK(F102),ISBLANK(G102)),"",G102-F102)</x:f>
      </x:c>
      <x:c r="I102" s="25" t="n"/>
      <x:c r="J102" s="25" t="n"/>
      <x:c r="K102" s="25" t="n"/>
      <x:c r="L102" s="22" t="n"/>
      <x:c r="M102" s="22" t="n"/>
      <x:c r="N102" s="22" t="n"/>
      <x:c r="O102" s="22" t="n"/>
      <x:c r="P102" s="25" t="n"/>
      <x:c r="Q102" s="25" t="n"/>
      <x:c r="R102" s="25" t="n"/>
      <x:c r="S102" s="22" t="n"/>
      <x:c r="T102" s="23" t="n"/>
      <x:c r="U102" s="25" t="n"/>
      <x:c r="V102" s="25" t="n"/>
      <x:c r="W102" s="25">
        <x:f>IF(OR(AND(OR(O102="DELIVERED",O102="PARTIAL"),J102&lt;&gt;TRUE),AND(OR(E102="CASH",E102="DAY CHEQUE",E102="POST DATED CHQ"),I102&lt;&gt;TRUE),AND(OR(E102="CASH",E102="DAY CHEQUE",E102="POST DATED CHQ"),K102&lt;&gt;TRUE),AND(E102="POST DATED CHQ",ISBLANK(M102)),P102=TRUE,Q102=TRUE,AND(R102=TRUE,OR(ISBLANK(S102),ISBLANK(T102))),AND(E102="ONLINE",V102&lt;&gt;TRUE),AND(I102=TRUE,U102&lt;&gt;TRUE)),TRUE,FALSE)</x:f>
      </x:c>
      <x:c r="X102" s="22" t="n"/>
    </x:row>
    <x:row r="103">
      <x:c r="A103" s="22" t="n"/>
      <x:c r="B103" s="22" t="n"/>
      <x:c r="C103" s="22" t="n"/>
      <x:c r="D103" s="22" t="n"/>
      <x:c r="E103" s="22" t="n"/>
      <x:c r="F103" s="23" t="n"/>
      <x:c r="G103" s="23" t="n"/>
      <x:c r="H103" s="24">
        <x:f>IF(OR(ISBLANK(F103),ISBLANK(G103)),"",G103-F103)</x:f>
      </x:c>
      <x:c r="I103" s="25" t="n"/>
      <x:c r="J103" s="25" t="n"/>
      <x:c r="K103" s="25" t="n"/>
      <x:c r="L103" s="22" t="n"/>
      <x:c r="M103" s="22" t="n"/>
      <x:c r="N103" s="22" t="n"/>
      <x:c r="O103" s="22" t="n"/>
      <x:c r="P103" s="25" t="n"/>
      <x:c r="Q103" s="25" t="n"/>
      <x:c r="R103" s="25" t="n"/>
      <x:c r="S103" s="22" t="n"/>
      <x:c r="T103" s="23" t="n"/>
      <x:c r="U103" s="25" t="n"/>
      <x:c r="V103" s="25" t="n"/>
      <x:c r="W103" s="25">
        <x:f>IF(OR(AND(OR(O103="DELIVERED",O103="PARTIAL"),J103&lt;&gt;TRUE),AND(OR(E103="CASH",E103="DAY CHEQUE",E103="POST DATED CHQ"),I103&lt;&gt;TRUE),AND(OR(E103="CASH",E103="DAY CHEQUE",E103="POST DATED CHQ"),K103&lt;&gt;TRUE),AND(E103="POST DATED CHQ",ISBLANK(M103)),P103=TRUE,Q103=TRUE,AND(R103=TRUE,OR(ISBLANK(S103),ISBLANK(T103))),AND(E103="ONLINE",V103&lt;&gt;TRUE),AND(I103=TRUE,U103&lt;&gt;TRUE)),TRUE,FALSE)</x:f>
      </x:c>
      <x:c r="X103" s="22" t="n"/>
    </x:row>
    <x:row r="104">
      <x:c r="A104" s="22" t="n"/>
      <x:c r="B104" s="22" t="n"/>
      <x:c r="C104" s="22" t="n"/>
      <x:c r="D104" s="22" t="n"/>
      <x:c r="E104" s="22" t="n"/>
      <x:c r="F104" s="23" t="n"/>
      <x:c r="G104" s="23" t="n"/>
      <x:c r="H104" s="24">
        <x:f>IF(OR(ISBLANK(F104),ISBLANK(G104)),"",G104-F104)</x:f>
      </x:c>
      <x:c r="I104" s="25" t="n"/>
      <x:c r="J104" s="25" t="n"/>
      <x:c r="K104" s="25" t="n"/>
      <x:c r="L104" s="22" t="n"/>
      <x:c r="M104" s="22" t="n"/>
      <x:c r="N104" s="22" t="n"/>
      <x:c r="O104" s="22" t="n"/>
      <x:c r="P104" s="25" t="n"/>
      <x:c r="Q104" s="25" t="n"/>
      <x:c r="R104" s="25" t="n"/>
      <x:c r="S104" s="22" t="n"/>
      <x:c r="T104" s="23" t="n"/>
      <x:c r="U104" s="25" t="n"/>
      <x:c r="V104" s="25" t="n"/>
      <x:c r="W104" s="25">
        <x:f>IF(OR(AND(OR(O104="DELIVERED",O104="PARTIAL"),J104&lt;&gt;TRUE),AND(OR(E104="CASH",E104="DAY CHEQUE",E104="POST DATED CHQ"),I104&lt;&gt;TRUE),AND(OR(E104="CASH",E104="DAY CHEQUE",E104="POST DATED CHQ"),K104&lt;&gt;TRUE),AND(E104="POST DATED CHQ",ISBLANK(M104)),P104=TRUE,Q104=TRUE,AND(R104=TRUE,OR(ISBLANK(S104),ISBLANK(T104))),AND(E104="ONLINE",V104&lt;&gt;TRUE),AND(I104=TRUE,U104&lt;&gt;TRUE)),TRUE,FALSE)</x:f>
      </x:c>
      <x:c r="X104" s="22" t="n"/>
    </x:row>
    <x:row r="105">
      <x:c r="A105" s="22" t="n"/>
      <x:c r="B105" s="22" t="n"/>
      <x:c r="C105" s="22" t="n"/>
      <x:c r="D105" s="22" t="n"/>
      <x:c r="E105" s="22" t="n"/>
      <x:c r="F105" s="23" t="n"/>
      <x:c r="G105" s="23" t="n"/>
      <x:c r="H105" s="24">
        <x:f>IF(OR(ISBLANK(F105),ISBLANK(G105)),"",G105-F105)</x:f>
      </x:c>
      <x:c r="I105" s="25" t="n"/>
      <x:c r="J105" s="25" t="n"/>
      <x:c r="K105" s="25" t="n"/>
      <x:c r="L105" s="22" t="n"/>
      <x:c r="M105" s="22" t="n"/>
      <x:c r="N105" s="22" t="n"/>
      <x:c r="O105" s="22" t="n"/>
      <x:c r="P105" s="25" t="n"/>
      <x:c r="Q105" s="25" t="n"/>
      <x:c r="R105" s="25" t="n"/>
      <x:c r="S105" s="22" t="n"/>
      <x:c r="T105" s="23" t="n"/>
      <x:c r="U105" s="25" t="n"/>
      <x:c r="V105" s="25" t="n"/>
      <x:c r="W105" s="25">
        <x:f>IF(OR(AND(OR(O105="DELIVERED",O105="PARTIAL"),J105&lt;&gt;TRUE),AND(OR(E105="CASH",E105="DAY CHEQUE",E105="POST DATED CHQ"),I105&lt;&gt;TRUE),AND(OR(E105="CASH",E105="DAY CHEQUE",E105="POST DATED CHQ"),K105&lt;&gt;TRUE),AND(E105="POST DATED CHQ",ISBLANK(M105)),P105=TRUE,Q105=TRUE,AND(R105=TRUE,OR(ISBLANK(S105),ISBLANK(T105))),AND(E105="ONLINE",V105&lt;&gt;TRUE),AND(I105=TRUE,U105&lt;&gt;TRUE)),TRUE,FALSE)</x:f>
      </x:c>
      <x:c r="X105" s="22" t="n"/>
    </x:row>
    <x:row r="106">
      <x:c r="A106" s="22" t="n"/>
      <x:c r="B106" s="22" t="n"/>
      <x:c r="C106" s="22" t="n"/>
      <x:c r="D106" s="22" t="n"/>
      <x:c r="E106" s="22" t="n"/>
      <x:c r="F106" s="23" t="n"/>
      <x:c r="G106" s="23" t="n"/>
      <x:c r="H106" s="24">
        <x:f>IF(OR(ISBLANK(F106),ISBLANK(G106)),"",G106-F106)</x:f>
      </x:c>
      <x:c r="I106" s="25" t="n"/>
      <x:c r="J106" s="25" t="n"/>
      <x:c r="K106" s="25" t="n"/>
      <x:c r="L106" s="22" t="n"/>
      <x:c r="M106" s="22" t="n"/>
      <x:c r="N106" s="22" t="n"/>
      <x:c r="O106" s="22" t="n"/>
      <x:c r="P106" s="25" t="n"/>
      <x:c r="Q106" s="25" t="n"/>
      <x:c r="R106" s="25" t="n"/>
      <x:c r="S106" s="22" t="n"/>
      <x:c r="T106" s="23" t="n"/>
      <x:c r="U106" s="25" t="n"/>
      <x:c r="V106" s="25" t="n"/>
      <x:c r="W106" s="25">
        <x:f>IF(OR(AND(OR(O106="DELIVERED",O106="PARTIAL"),J106&lt;&gt;TRUE),AND(OR(E106="CASH",E106="DAY CHEQUE",E106="POST DATED CHQ"),I106&lt;&gt;TRUE),AND(OR(E106="CASH",E106="DAY CHEQUE",E106="POST DATED CHQ"),K106&lt;&gt;TRUE),AND(E106="POST DATED CHQ",ISBLANK(M106)),P106=TRUE,Q106=TRUE,AND(R106=TRUE,OR(ISBLANK(S106),ISBLANK(T106))),AND(E106="ONLINE",V106&lt;&gt;TRUE),AND(I106=TRUE,U106&lt;&gt;TRUE)),TRUE,FALSE)</x:f>
      </x:c>
      <x:c r="X106" s="22" t="n"/>
    </x:row>
    <x:row r="107">
      <x:c r="A107" s="22" t="n"/>
      <x:c r="B107" s="22" t="n"/>
      <x:c r="C107" s="22" t="n"/>
      <x:c r="D107" s="22" t="n"/>
      <x:c r="E107" s="22" t="n"/>
      <x:c r="F107" s="23" t="n"/>
      <x:c r="G107" s="23" t="n"/>
      <x:c r="H107" s="24">
        <x:f>IF(OR(ISBLANK(F107),ISBLANK(G107)),"",G107-F107)</x:f>
      </x:c>
      <x:c r="I107" s="25" t="n"/>
      <x:c r="J107" s="25" t="n"/>
      <x:c r="K107" s="25" t="n"/>
      <x:c r="L107" s="22" t="n"/>
      <x:c r="M107" s="22" t="n"/>
      <x:c r="N107" s="22" t="n"/>
      <x:c r="O107" s="22" t="n"/>
      <x:c r="P107" s="25" t="n"/>
      <x:c r="Q107" s="25" t="n"/>
      <x:c r="R107" s="25" t="n"/>
      <x:c r="S107" s="22" t="n"/>
      <x:c r="T107" s="23" t="n"/>
      <x:c r="U107" s="25" t="n"/>
      <x:c r="V107" s="25" t="n"/>
      <x:c r="W107" s="25">
        <x:f>IF(OR(AND(OR(O107="DELIVERED",O107="PARTIAL"),J107&lt;&gt;TRUE),AND(OR(E107="CASH",E107="DAY CHEQUE",E107="POST DATED CHQ"),I107&lt;&gt;TRUE),AND(OR(E107="CASH",E107="DAY CHEQUE",E107="POST DATED CHQ"),K107&lt;&gt;TRUE),AND(E107="POST DATED CHQ",ISBLANK(M107)),P107=TRUE,Q107=TRUE,AND(R107=TRUE,OR(ISBLANK(S107),ISBLANK(T107))),AND(E107="ONLINE",V107&lt;&gt;TRUE),AND(I107=TRUE,U107&lt;&gt;TRUE)),TRUE,FALSE)</x:f>
      </x:c>
      <x:c r="X107" s="22" t="n"/>
    </x:row>
    <x:row r="108">
      <x:c r="A108" s="22" t="n"/>
      <x:c r="B108" s="22" t="n"/>
      <x:c r="C108" s="22" t="n"/>
      <x:c r="D108" s="22" t="n"/>
      <x:c r="E108" s="22" t="n"/>
      <x:c r="F108" s="23" t="n"/>
      <x:c r="G108" s="23" t="n"/>
      <x:c r="H108" s="24">
        <x:f>IF(OR(ISBLANK(F108),ISBLANK(G108)),"",G108-F108)</x:f>
      </x:c>
      <x:c r="I108" s="25" t="n"/>
      <x:c r="J108" s="25" t="n"/>
      <x:c r="K108" s="25" t="n"/>
      <x:c r="L108" s="22" t="n"/>
      <x:c r="M108" s="22" t="n"/>
      <x:c r="N108" s="22" t="n"/>
      <x:c r="O108" s="22" t="n"/>
      <x:c r="P108" s="25" t="n"/>
      <x:c r="Q108" s="25" t="n"/>
      <x:c r="R108" s="25" t="n"/>
      <x:c r="S108" s="22" t="n"/>
      <x:c r="T108" s="23" t="n"/>
      <x:c r="U108" s="25" t="n"/>
      <x:c r="V108" s="25" t="n"/>
      <x:c r="W108" s="25">
        <x:f>IF(OR(AND(OR(O108="DELIVERED",O108="PARTIAL"),J108&lt;&gt;TRUE),AND(OR(E108="CASH",E108="DAY CHEQUE",E108="POST DATED CHQ"),I108&lt;&gt;TRUE),AND(OR(E108="CASH",E108="DAY CHEQUE",E108="POST DATED CHQ"),K108&lt;&gt;TRUE),AND(E108="POST DATED CHQ",ISBLANK(M108)),P108=TRUE,Q108=TRUE,AND(R108=TRUE,OR(ISBLANK(S108),ISBLANK(T108))),AND(E108="ONLINE",V108&lt;&gt;TRUE),AND(I108=TRUE,U108&lt;&gt;TRUE)),TRUE,FALSE)</x:f>
      </x:c>
      <x:c r="X108" s="22" t="n"/>
    </x:row>
    <x:row r="109">
      <x:c r="A109" s="22" t="n"/>
      <x:c r="B109" s="22" t="n"/>
      <x:c r="C109" s="22" t="n"/>
      <x:c r="D109" s="22" t="n"/>
      <x:c r="E109" s="22" t="n"/>
      <x:c r="F109" s="23" t="n"/>
      <x:c r="G109" s="23" t="n"/>
      <x:c r="H109" s="24">
        <x:f>IF(OR(ISBLANK(F109),ISBLANK(G109)),"",G109-F109)</x:f>
      </x:c>
      <x:c r="I109" s="25" t="n"/>
      <x:c r="J109" s="25" t="n"/>
      <x:c r="K109" s="25" t="n"/>
      <x:c r="L109" s="22" t="n"/>
      <x:c r="M109" s="22" t="n"/>
      <x:c r="N109" s="22" t="n"/>
      <x:c r="O109" s="22" t="n"/>
      <x:c r="P109" s="25" t="n"/>
      <x:c r="Q109" s="25" t="n"/>
      <x:c r="R109" s="25" t="n"/>
      <x:c r="S109" s="22" t="n"/>
      <x:c r="T109" s="23" t="n"/>
      <x:c r="U109" s="25" t="n"/>
      <x:c r="V109" s="25" t="n"/>
      <x:c r="W109" s="25">
        <x:f>IF(OR(AND(OR(O109="DELIVERED",O109="PARTIAL"),J109&lt;&gt;TRUE),AND(OR(E109="CASH",E109="DAY CHEQUE",E109="POST DATED CHQ"),I109&lt;&gt;TRUE),AND(OR(E109="CASH",E109="DAY CHEQUE",E109="POST DATED CHQ"),K109&lt;&gt;TRUE),AND(E109="POST DATED CHQ",ISBLANK(M109)),P109=TRUE,Q109=TRUE,AND(R109=TRUE,OR(ISBLANK(S109),ISBLANK(T109))),AND(E109="ONLINE",V109&lt;&gt;TRUE),AND(I109=TRUE,U109&lt;&gt;TRUE)),TRUE,FALSE)</x:f>
      </x:c>
      <x:c r="X109" s="22" t="n"/>
    </x:row>
    <x:row r="110">
      <x:c r="A110" s="22" t="n"/>
      <x:c r="B110" s="22" t="n"/>
      <x:c r="C110" s="22" t="n"/>
      <x:c r="D110" s="22" t="n"/>
      <x:c r="E110" s="22" t="n"/>
      <x:c r="F110" s="23" t="n"/>
      <x:c r="G110" s="23" t="n"/>
      <x:c r="H110" s="24">
        <x:f>IF(OR(ISBLANK(F110),ISBLANK(G110)),"",G110-F110)</x:f>
      </x:c>
      <x:c r="I110" s="25" t="n"/>
      <x:c r="J110" s="25" t="n"/>
      <x:c r="K110" s="25" t="n"/>
      <x:c r="L110" s="22" t="n"/>
      <x:c r="M110" s="22" t="n"/>
      <x:c r="N110" s="22" t="n"/>
      <x:c r="O110" s="22" t="n"/>
      <x:c r="P110" s="25" t="n"/>
      <x:c r="Q110" s="25" t="n"/>
      <x:c r="R110" s="25" t="n"/>
      <x:c r="S110" s="22" t="n"/>
      <x:c r="T110" s="23" t="n"/>
      <x:c r="U110" s="25" t="n"/>
      <x:c r="V110" s="25" t="n"/>
      <x:c r="W110" s="25">
        <x:f>IF(OR(AND(OR(O110="DELIVERED",O110="PARTIAL"),J110&lt;&gt;TRUE),AND(OR(E110="CASH",E110="DAY CHEQUE",E110="POST DATED CHQ"),I110&lt;&gt;TRUE),AND(OR(E110="CASH",E110="DAY CHEQUE",E110="POST DATED CHQ"),K110&lt;&gt;TRUE),AND(E110="POST DATED CHQ",ISBLANK(M110)),P110=TRUE,Q110=TRUE,AND(R110=TRUE,OR(ISBLANK(S110),ISBLANK(T110))),AND(E110="ONLINE",V110&lt;&gt;TRUE),AND(I110=TRUE,U110&lt;&gt;TRUE)),TRUE,FALSE)</x:f>
      </x:c>
      <x:c r="X110" s="22" t="n"/>
    </x:row>
    <x:row r="111">
      <x:c r="A111" s="22" t="n"/>
      <x:c r="B111" s="22" t="n"/>
      <x:c r="C111" s="22" t="n"/>
      <x:c r="D111" s="22" t="n"/>
      <x:c r="E111" s="22" t="n"/>
      <x:c r="F111" s="23" t="n"/>
      <x:c r="G111" s="23" t="n"/>
      <x:c r="H111" s="24">
        <x:f>IF(OR(ISBLANK(F111),ISBLANK(G111)),"",G111-F111)</x:f>
      </x:c>
      <x:c r="I111" s="25" t="n"/>
      <x:c r="J111" s="25" t="n"/>
      <x:c r="K111" s="25" t="n"/>
      <x:c r="L111" s="22" t="n"/>
      <x:c r="M111" s="22" t="n"/>
      <x:c r="N111" s="22" t="n"/>
      <x:c r="O111" s="22" t="n"/>
      <x:c r="P111" s="25" t="n"/>
      <x:c r="Q111" s="25" t="n"/>
      <x:c r="R111" s="25" t="n"/>
      <x:c r="S111" s="22" t="n"/>
      <x:c r="T111" s="23" t="n"/>
      <x:c r="U111" s="25" t="n"/>
      <x:c r="V111" s="25" t="n"/>
      <x:c r="W111" s="25">
        <x:f>IF(OR(AND(OR(O111="DELIVERED",O111="PARTIAL"),J111&lt;&gt;TRUE),AND(OR(E111="CASH",E111="DAY CHEQUE",E111="POST DATED CHQ"),I111&lt;&gt;TRUE),AND(OR(E111="CASH",E111="DAY CHEQUE",E111="POST DATED CHQ"),K111&lt;&gt;TRUE),AND(E111="POST DATED CHQ",ISBLANK(M111)),P111=TRUE,Q111=TRUE,AND(R111=TRUE,OR(ISBLANK(S111),ISBLANK(T111))),AND(E111="ONLINE",V111&lt;&gt;TRUE),AND(I111=TRUE,U111&lt;&gt;TRUE)),TRUE,FALSE)</x:f>
      </x:c>
      <x:c r="X111" s="22" t="n"/>
    </x:row>
    <x:row r="112">
      <x:c r="A112" s="22" t="n"/>
      <x:c r="B112" s="22" t="n"/>
      <x:c r="C112" s="22" t="n"/>
      <x:c r="D112" s="22" t="n"/>
      <x:c r="E112" s="22" t="n"/>
      <x:c r="F112" s="23" t="n"/>
      <x:c r="G112" s="23" t="n"/>
      <x:c r="H112" s="24">
        <x:f>IF(OR(ISBLANK(F112),ISBLANK(G112)),"",G112-F112)</x:f>
      </x:c>
      <x:c r="I112" s="25" t="n"/>
      <x:c r="J112" s="25" t="n"/>
      <x:c r="K112" s="25" t="n"/>
      <x:c r="L112" s="22" t="n"/>
      <x:c r="M112" s="22" t="n"/>
      <x:c r="N112" s="22" t="n"/>
      <x:c r="O112" s="22" t="n"/>
      <x:c r="P112" s="25" t="n"/>
      <x:c r="Q112" s="25" t="n"/>
      <x:c r="R112" s="25" t="n"/>
      <x:c r="S112" s="22" t="n"/>
      <x:c r="T112" s="23" t="n"/>
      <x:c r="U112" s="25" t="n"/>
      <x:c r="V112" s="25" t="n"/>
      <x:c r="W112" s="25">
        <x:f>IF(OR(AND(OR(O112="DELIVERED",O112="PARTIAL"),J112&lt;&gt;TRUE),AND(OR(E112="CASH",E112="DAY CHEQUE",E112="POST DATED CHQ"),I112&lt;&gt;TRUE),AND(OR(E112="CASH",E112="DAY CHEQUE",E112="POST DATED CHQ"),K112&lt;&gt;TRUE),AND(E112="POST DATED CHQ",ISBLANK(M112)),P112=TRUE,Q112=TRUE,AND(R112=TRUE,OR(ISBLANK(S112),ISBLANK(T112))),AND(E112="ONLINE",V112&lt;&gt;TRUE),AND(I112=TRUE,U112&lt;&gt;TRUE)),TRUE,FALSE)</x:f>
      </x:c>
      <x:c r="X112" s="22" t="n"/>
    </x:row>
    <x:row r="113">
      <x:c r="A113" s="22" t="n"/>
      <x:c r="B113" s="22" t="n"/>
      <x:c r="C113" s="22" t="n"/>
      <x:c r="D113" s="22" t="n"/>
      <x:c r="E113" s="22" t="n"/>
      <x:c r="F113" s="23" t="n"/>
      <x:c r="G113" s="23" t="n"/>
      <x:c r="H113" s="24">
        <x:f>IF(OR(ISBLANK(F113),ISBLANK(G113)),"",G113-F113)</x:f>
      </x:c>
      <x:c r="I113" s="25" t="n"/>
      <x:c r="J113" s="25" t="n"/>
      <x:c r="K113" s="25" t="n"/>
      <x:c r="L113" s="22" t="n"/>
      <x:c r="M113" s="22" t="n"/>
      <x:c r="N113" s="22" t="n"/>
      <x:c r="O113" s="22" t="n"/>
      <x:c r="P113" s="25" t="n"/>
      <x:c r="Q113" s="25" t="n"/>
      <x:c r="R113" s="25" t="n"/>
      <x:c r="S113" s="22" t="n"/>
      <x:c r="T113" s="23" t="n"/>
      <x:c r="U113" s="25" t="n"/>
      <x:c r="V113" s="25" t="n"/>
      <x:c r="W113" s="25">
        <x:f>IF(OR(AND(OR(O113="DELIVERED",O113="PARTIAL"),J113&lt;&gt;TRUE),AND(OR(E113="CASH",E113="DAY CHEQUE",E113="POST DATED CHQ"),I113&lt;&gt;TRUE),AND(OR(E113="CASH",E113="DAY CHEQUE",E113="POST DATED CHQ"),K113&lt;&gt;TRUE),AND(E113="POST DATED CHQ",ISBLANK(M113)),P113=TRUE,Q113=TRUE,AND(R113=TRUE,OR(ISBLANK(S113),ISBLANK(T113))),AND(E113="ONLINE",V113&lt;&gt;TRUE),AND(I113=TRUE,U113&lt;&gt;TRUE)),TRUE,FALSE)</x:f>
      </x:c>
      <x:c r="X113" s="22" t="n"/>
    </x:row>
    <x:row r="114">
      <x:c r="A114" s="22" t="n"/>
      <x:c r="B114" s="22" t="n"/>
      <x:c r="C114" s="22" t="n"/>
      <x:c r="D114" s="22" t="n"/>
      <x:c r="E114" s="22" t="n"/>
      <x:c r="F114" s="23" t="n"/>
      <x:c r="G114" s="23" t="n"/>
      <x:c r="H114" s="24">
        <x:f>IF(OR(ISBLANK(F114),ISBLANK(G114)),"",G114-F114)</x:f>
      </x:c>
      <x:c r="I114" s="25" t="n"/>
      <x:c r="J114" s="25" t="n"/>
      <x:c r="K114" s="25" t="n"/>
      <x:c r="L114" s="22" t="n"/>
      <x:c r="M114" s="22" t="n"/>
      <x:c r="N114" s="22" t="n"/>
      <x:c r="O114" s="22" t="n"/>
      <x:c r="P114" s="25" t="n"/>
      <x:c r="Q114" s="25" t="n"/>
      <x:c r="R114" s="25" t="n"/>
      <x:c r="S114" s="22" t="n"/>
      <x:c r="T114" s="23" t="n"/>
      <x:c r="U114" s="25" t="n"/>
      <x:c r="V114" s="25" t="n"/>
      <x:c r="W114" s="25">
        <x:f>IF(OR(AND(OR(O114="DELIVERED",O114="PARTIAL"),J114&lt;&gt;TRUE),AND(OR(E114="CASH",E114="DAY CHEQUE",E114="POST DATED CHQ"),I114&lt;&gt;TRUE),AND(OR(E114="CASH",E114="DAY CHEQUE",E114="POST DATED CHQ"),K114&lt;&gt;TRUE),AND(E114="POST DATED CHQ",ISBLANK(M114)),P114=TRUE,Q114=TRUE,AND(R114=TRUE,OR(ISBLANK(S114),ISBLANK(T114))),AND(E114="ONLINE",V114&lt;&gt;TRUE),AND(I114=TRUE,U114&lt;&gt;TRUE)),TRUE,FALSE)</x:f>
      </x:c>
      <x:c r="X114" s="22" t="n"/>
    </x:row>
    <x:row r="115">
      <x:c r="A115" s="22" t="n"/>
      <x:c r="B115" s="22" t="n"/>
      <x:c r="C115" s="22" t="n"/>
      <x:c r="D115" s="22" t="n"/>
      <x:c r="E115" s="22" t="n"/>
      <x:c r="F115" s="23" t="n"/>
      <x:c r="G115" s="23" t="n"/>
      <x:c r="H115" s="24">
        <x:f>IF(OR(ISBLANK(F115),ISBLANK(G115)),"",G115-F115)</x:f>
      </x:c>
      <x:c r="I115" s="25" t="n"/>
      <x:c r="J115" s="25" t="n"/>
      <x:c r="K115" s="25" t="n"/>
      <x:c r="L115" s="22" t="n"/>
      <x:c r="M115" s="22" t="n"/>
      <x:c r="N115" s="22" t="n"/>
      <x:c r="O115" s="22" t="n"/>
      <x:c r="P115" s="25" t="n"/>
      <x:c r="Q115" s="25" t="n"/>
      <x:c r="R115" s="25" t="n"/>
      <x:c r="S115" s="22" t="n"/>
      <x:c r="T115" s="23" t="n"/>
      <x:c r="U115" s="25" t="n"/>
      <x:c r="V115" s="25" t="n"/>
      <x:c r="W115" s="25">
        <x:f>IF(OR(AND(OR(O115="DELIVERED",O115="PARTIAL"),J115&lt;&gt;TRUE),AND(OR(E115="CASH",E115="DAY CHEQUE",E115="POST DATED CHQ"),I115&lt;&gt;TRUE),AND(OR(E115="CASH",E115="DAY CHEQUE",E115="POST DATED CHQ"),K115&lt;&gt;TRUE),AND(E115="POST DATED CHQ",ISBLANK(M115)),P115=TRUE,Q115=TRUE,AND(R115=TRUE,OR(ISBLANK(S115),ISBLANK(T115))),AND(E115="ONLINE",V115&lt;&gt;TRUE),AND(I115=TRUE,U115&lt;&gt;TRUE)),TRUE,FALSE)</x:f>
      </x:c>
      <x:c r="X115" s="22" t="n"/>
    </x:row>
    <x:row r="116">
      <x:c r="A116" s="22" t="n"/>
      <x:c r="B116" s="22" t="n"/>
      <x:c r="C116" s="22" t="n"/>
      <x:c r="D116" s="22" t="n"/>
      <x:c r="E116" s="22" t="n"/>
      <x:c r="F116" s="23" t="n"/>
      <x:c r="G116" s="23" t="n"/>
      <x:c r="H116" s="24">
        <x:f>IF(OR(ISBLANK(F116),ISBLANK(G116)),"",G116-F116)</x:f>
      </x:c>
      <x:c r="I116" s="25" t="n"/>
      <x:c r="J116" s="25" t="n"/>
      <x:c r="K116" s="25" t="n"/>
      <x:c r="L116" s="22" t="n"/>
      <x:c r="M116" s="22" t="n"/>
      <x:c r="N116" s="22" t="n"/>
      <x:c r="O116" s="22" t="n"/>
      <x:c r="P116" s="25" t="n"/>
      <x:c r="Q116" s="25" t="n"/>
      <x:c r="R116" s="25" t="n"/>
      <x:c r="S116" s="22" t="n"/>
      <x:c r="T116" s="23" t="n"/>
      <x:c r="U116" s="25" t="n"/>
      <x:c r="V116" s="25" t="n"/>
      <x:c r="W116" s="25">
        <x:f>IF(OR(AND(OR(O116="DELIVERED",O116="PARTIAL"),J116&lt;&gt;TRUE),AND(OR(E116="CASH",E116="DAY CHEQUE",E116="POST DATED CHQ"),I116&lt;&gt;TRUE),AND(OR(E116="CASH",E116="DAY CHEQUE",E116="POST DATED CHQ"),K116&lt;&gt;TRUE),AND(E116="POST DATED CHQ",ISBLANK(M116)),P116=TRUE,Q116=TRUE,AND(R116=TRUE,OR(ISBLANK(S116),ISBLANK(T116))),AND(E116="ONLINE",V116&lt;&gt;TRUE),AND(I116=TRUE,U116&lt;&gt;TRUE)),TRUE,FALSE)</x:f>
      </x:c>
      <x:c r="X116" s="22" t="n"/>
    </x:row>
    <x:row r="117">
      <x:c r="A117" s="22" t="n"/>
      <x:c r="B117" s="22" t="n"/>
      <x:c r="C117" s="22" t="n"/>
      <x:c r="D117" s="22" t="n"/>
      <x:c r="E117" s="22" t="n"/>
      <x:c r="F117" s="23" t="n"/>
      <x:c r="G117" s="23" t="n"/>
      <x:c r="H117" s="24">
        <x:f>IF(OR(ISBLANK(F117),ISBLANK(G117)),"",G117-F117)</x:f>
      </x:c>
      <x:c r="I117" s="25" t="n"/>
      <x:c r="J117" s="25" t="n"/>
      <x:c r="K117" s="25" t="n"/>
      <x:c r="L117" s="22" t="n"/>
      <x:c r="M117" s="22" t="n"/>
      <x:c r="N117" s="22" t="n"/>
      <x:c r="O117" s="22" t="n"/>
      <x:c r="P117" s="25" t="n"/>
      <x:c r="Q117" s="25" t="n"/>
      <x:c r="R117" s="25" t="n"/>
      <x:c r="S117" s="22" t="n"/>
      <x:c r="T117" s="23" t="n"/>
      <x:c r="U117" s="25" t="n"/>
      <x:c r="V117" s="25" t="n"/>
      <x:c r="W117" s="25">
        <x:f>IF(OR(AND(OR(O117="DELIVERED",O117="PARTIAL"),J117&lt;&gt;TRUE),AND(OR(E117="CASH",E117="DAY CHEQUE",E117="POST DATED CHQ"),I117&lt;&gt;TRUE),AND(OR(E117="CASH",E117="DAY CHEQUE",E117="POST DATED CHQ"),K117&lt;&gt;TRUE),AND(E117="POST DATED CHQ",ISBLANK(M117)),P117=TRUE,Q117=TRUE,AND(R117=TRUE,OR(ISBLANK(S117),ISBLANK(T117))),AND(E117="ONLINE",V117&lt;&gt;TRUE),AND(I117=TRUE,U117&lt;&gt;TRUE)),TRUE,FALSE)</x:f>
      </x:c>
      <x:c r="X117" s="22" t="n"/>
    </x:row>
    <x:row r="118">
      <x:c r="A118" s="22" t="n"/>
      <x:c r="B118" s="22" t="n"/>
      <x:c r="C118" s="22" t="n"/>
      <x:c r="D118" s="22" t="n"/>
      <x:c r="E118" s="22" t="n"/>
      <x:c r="F118" s="23" t="n"/>
      <x:c r="G118" s="23" t="n"/>
      <x:c r="H118" s="24">
        <x:f>IF(OR(ISBLANK(F118),ISBLANK(G118)),"",G118-F118)</x:f>
      </x:c>
      <x:c r="I118" s="25" t="n"/>
      <x:c r="J118" s="25" t="n"/>
      <x:c r="K118" s="25" t="n"/>
      <x:c r="L118" s="22" t="n"/>
      <x:c r="M118" s="22" t="n"/>
      <x:c r="N118" s="22" t="n"/>
      <x:c r="O118" s="22" t="n"/>
      <x:c r="P118" s="25" t="n"/>
      <x:c r="Q118" s="25" t="n"/>
      <x:c r="R118" s="25" t="n"/>
      <x:c r="S118" s="22" t="n"/>
      <x:c r="T118" s="23" t="n"/>
      <x:c r="U118" s="25" t="n"/>
      <x:c r="V118" s="25" t="n"/>
      <x:c r="W118" s="25">
        <x:f>IF(OR(AND(OR(O118="DELIVERED",O118="PARTIAL"),J118&lt;&gt;TRUE),AND(OR(E118="CASH",E118="DAY CHEQUE",E118="POST DATED CHQ"),I118&lt;&gt;TRUE),AND(OR(E118="CASH",E118="DAY CHEQUE",E118="POST DATED CHQ"),K118&lt;&gt;TRUE),AND(E118="POST DATED CHQ",ISBLANK(M118)),P118=TRUE,Q118=TRUE,AND(R118=TRUE,OR(ISBLANK(S118),ISBLANK(T118))),AND(E118="ONLINE",V118&lt;&gt;TRUE),AND(I118=TRUE,U118&lt;&gt;TRUE)),TRUE,FALSE)</x:f>
      </x:c>
      <x:c r="X118" s="22" t="n"/>
    </x:row>
    <x:row r="119">
      <x:c r="A119" s="22" t="n"/>
      <x:c r="B119" s="22" t="n"/>
      <x:c r="C119" s="22" t="n"/>
      <x:c r="D119" s="22" t="n"/>
      <x:c r="E119" s="22" t="n"/>
      <x:c r="F119" s="23" t="n"/>
      <x:c r="G119" s="23" t="n"/>
      <x:c r="H119" s="24">
        <x:f>IF(OR(ISBLANK(F119),ISBLANK(G119)),"",G119-F119)</x:f>
      </x:c>
      <x:c r="I119" s="25" t="n"/>
      <x:c r="J119" s="25" t="n"/>
      <x:c r="K119" s="25" t="n"/>
      <x:c r="L119" s="22" t="n"/>
      <x:c r="M119" s="22" t="n"/>
      <x:c r="N119" s="22" t="n"/>
      <x:c r="O119" s="22" t="n"/>
      <x:c r="P119" s="25" t="n"/>
      <x:c r="Q119" s="25" t="n"/>
      <x:c r="R119" s="25" t="n"/>
      <x:c r="S119" s="22" t="n"/>
      <x:c r="T119" s="23" t="n"/>
      <x:c r="U119" s="25" t="n"/>
      <x:c r="V119" s="25" t="n"/>
      <x:c r="W119" s="25">
        <x:f>IF(OR(AND(OR(O119="DELIVERED",O119="PARTIAL"),J119&lt;&gt;TRUE),AND(OR(E119="CASH",E119="DAY CHEQUE",E119="POST DATED CHQ"),I119&lt;&gt;TRUE),AND(OR(E119="CASH",E119="DAY CHEQUE",E119="POST DATED CHQ"),K119&lt;&gt;TRUE),AND(E119="POST DATED CHQ",ISBLANK(M119)),P119=TRUE,Q119=TRUE,AND(R119=TRUE,OR(ISBLANK(S119),ISBLANK(T119))),AND(E119="ONLINE",V119&lt;&gt;TRUE),AND(I119=TRUE,U119&lt;&gt;TRUE)),TRUE,FALSE)</x:f>
      </x:c>
      <x:c r="X119" s="22" t="n"/>
    </x:row>
    <x:row r="120">
      <x:c r="A120" s="22" t="n"/>
      <x:c r="B120" s="22" t="n"/>
      <x:c r="C120" s="22" t="n"/>
      <x:c r="D120" s="22" t="n"/>
      <x:c r="E120" s="22" t="n"/>
      <x:c r="F120" s="23" t="n"/>
      <x:c r="G120" s="23" t="n"/>
      <x:c r="H120" s="24">
        <x:f>IF(OR(ISBLANK(F120),ISBLANK(G120)),"",G120-F120)</x:f>
      </x:c>
      <x:c r="I120" s="25" t="n"/>
      <x:c r="J120" s="25" t="n"/>
      <x:c r="K120" s="25" t="n"/>
      <x:c r="L120" s="22" t="n"/>
      <x:c r="M120" s="22" t="n"/>
      <x:c r="N120" s="22" t="n"/>
      <x:c r="O120" s="22" t="n"/>
      <x:c r="P120" s="25" t="n"/>
      <x:c r="Q120" s="25" t="n"/>
      <x:c r="R120" s="25" t="n"/>
      <x:c r="S120" s="22" t="n"/>
      <x:c r="T120" s="23" t="n"/>
      <x:c r="U120" s="25" t="n"/>
      <x:c r="V120" s="25" t="n"/>
      <x:c r="W120" s="25">
        <x:f>IF(OR(AND(OR(O120="DELIVERED",O120="PARTIAL"),J120&lt;&gt;TRUE),AND(OR(E120="CASH",E120="DAY CHEQUE",E120="POST DATED CHQ"),I120&lt;&gt;TRUE),AND(OR(E120="CASH",E120="DAY CHEQUE",E120="POST DATED CHQ"),K120&lt;&gt;TRUE),AND(E120="POST DATED CHQ",ISBLANK(M120)),P120=TRUE,Q120=TRUE,AND(R120=TRUE,OR(ISBLANK(S120),ISBLANK(T120))),AND(E120="ONLINE",V120&lt;&gt;TRUE),AND(I120=TRUE,U120&lt;&gt;TRUE)),TRUE,FALSE)</x:f>
      </x:c>
      <x:c r="X120" s="22" t="n"/>
    </x:row>
    <x:row r="121">
      <x:c r="A121" s="22" t="n"/>
      <x:c r="B121" s="22" t="n"/>
      <x:c r="C121" s="22" t="n"/>
      <x:c r="D121" s="22" t="n"/>
      <x:c r="E121" s="22" t="n"/>
      <x:c r="F121" s="23" t="n"/>
      <x:c r="G121" s="23" t="n"/>
      <x:c r="H121" s="24">
        <x:f>IF(OR(ISBLANK(F121),ISBLANK(G121)),"",G121-F121)</x:f>
      </x:c>
      <x:c r="I121" s="25" t="n"/>
      <x:c r="J121" s="25" t="n"/>
      <x:c r="K121" s="25" t="n"/>
      <x:c r="L121" s="22" t="n"/>
      <x:c r="M121" s="22" t="n"/>
      <x:c r="N121" s="22" t="n"/>
      <x:c r="O121" s="22" t="n"/>
      <x:c r="P121" s="25" t="n"/>
      <x:c r="Q121" s="25" t="n"/>
      <x:c r="R121" s="25" t="n"/>
      <x:c r="S121" s="22" t="n"/>
      <x:c r="T121" s="23" t="n"/>
      <x:c r="U121" s="25" t="n"/>
      <x:c r="V121" s="25" t="n"/>
      <x:c r="W121" s="25">
        <x:f>IF(OR(AND(OR(O121="DELIVERED",O121="PARTIAL"),J121&lt;&gt;TRUE),AND(OR(E121="CASH",E121="DAY CHEQUE",E121="POST DATED CHQ"),I121&lt;&gt;TRUE),AND(OR(E121="CASH",E121="DAY CHEQUE",E121="POST DATED CHQ"),K121&lt;&gt;TRUE),AND(E121="POST DATED CHQ",ISBLANK(M121)),P121=TRUE,Q121=TRUE,AND(R121=TRUE,OR(ISBLANK(S121),ISBLANK(T121))),AND(E121="ONLINE",V121&lt;&gt;TRUE),AND(I121=TRUE,U121&lt;&gt;TRUE)),TRUE,FALSE)</x:f>
      </x:c>
      <x:c r="X121" s="22" t="n"/>
    </x:row>
    <x:row r="122">
      <x:c r="A122" s="22" t="n"/>
      <x:c r="B122" s="22" t="n"/>
      <x:c r="C122" s="22" t="n"/>
      <x:c r="D122" s="22" t="n"/>
      <x:c r="E122" s="22" t="n"/>
      <x:c r="F122" s="23" t="n"/>
      <x:c r="G122" s="23" t="n"/>
      <x:c r="H122" s="24">
        <x:f>IF(OR(ISBLANK(F122),ISBLANK(G122)),"",G122-F122)</x:f>
      </x:c>
      <x:c r="I122" s="25" t="n"/>
      <x:c r="J122" s="25" t="n"/>
      <x:c r="K122" s="25" t="n"/>
      <x:c r="L122" s="22" t="n"/>
      <x:c r="M122" s="22" t="n"/>
      <x:c r="N122" s="22" t="n"/>
      <x:c r="O122" s="22" t="n"/>
      <x:c r="P122" s="25" t="n"/>
      <x:c r="Q122" s="25" t="n"/>
      <x:c r="R122" s="25" t="n"/>
      <x:c r="S122" s="22" t="n"/>
      <x:c r="T122" s="23" t="n"/>
      <x:c r="U122" s="25" t="n"/>
      <x:c r="V122" s="25" t="n"/>
      <x:c r="W122" s="25">
        <x:f>IF(OR(AND(OR(O122="DELIVERED",O122="PARTIAL"),J122&lt;&gt;TRUE),AND(OR(E122="CASH",E122="DAY CHEQUE",E122="POST DATED CHQ"),I122&lt;&gt;TRUE),AND(OR(E122="CASH",E122="DAY CHEQUE",E122="POST DATED CHQ"),K122&lt;&gt;TRUE),AND(E122="POST DATED CHQ",ISBLANK(M122)),P122=TRUE,Q122=TRUE,AND(R122=TRUE,OR(ISBLANK(S122),ISBLANK(T122))),AND(E122="ONLINE",V122&lt;&gt;TRUE),AND(I122=TRUE,U122&lt;&gt;TRUE)),TRUE,FALSE)</x:f>
      </x:c>
      <x:c r="X122" s="22" t="n"/>
    </x:row>
    <x:row r="123">
      <x:c r="A123" s="22" t="n"/>
      <x:c r="B123" s="22" t="n"/>
      <x:c r="C123" s="22" t="n"/>
      <x:c r="D123" s="22" t="n"/>
      <x:c r="E123" s="22" t="n"/>
      <x:c r="F123" s="23" t="n"/>
      <x:c r="G123" s="23" t="n"/>
      <x:c r="H123" s="24">
        <x:f>IF(OR(ISBLANK(F123),ISBLANK(G123)),"",G123-F123)</x:f>
      </x:c>
      <x:c r="I123" s="25" t="n"/>
      <x:c r="J123" s="25" t="n"/>
      <x:c r="K123" s="25" t="n"/>
      <x:c r="L123" s="22" t="n"/>
      <x:c r="M123" s="22" t="n"/>
      <x:c r="N123" s="22" t="n"/>
      <x:c r="O123" s="22" t="n"/>
      <x:c r="P123" s="25" t="n"/>
      <x:c r="Q123" s="25" t="n"/>
      <x:c r="R123" s="25" t="n"/>
      <x:c r="S123" s="22" t="n"/>
      <x:c r="T123" s="23" t="n"/>
      <x:c r="U123" s="25" t="n"/>
      <x:c r="V123" s="25" t="n"/>
      <x:c r="W123" s="25">
        <x:f>IF(OR(AND(OR(O123="DELIVERED",O123="PARTIAL"),J123&lt;&gt;TRUE),AND(OR(E123="CASH",E123="DAY CHEQUE",E123="POST DATED CHQ"),I123&lt;&gt;TRUE),AND(OR(E123="CASH",E123="DAY CHEQUE",E123="POST DATED CHQ"),K123&lt;&gt;TRUE),AND(E123="POST DATED CHQ",ISBLANK(M123)),P123=TRUE,Q123=TRUE,AND(R123=TRUE,OR(ISBLANK(S123),ISBLANK(T123))),AND(E123="ONLINE",V123&lt;&gt;TRUE),AND(I123=TRUE,U123&lt;&gt;TRUE)),TRUE,FALSE)</x:f>
      </x:c>
      <x:c r="X123" s="22" t="n"/>
    </x:row>
    <x:row r="124">
      <x:c r="A124" s="22" t="n"/>
      <x:c r="B124" s="22" t="n"/>
      <x:c r="C124" s="22" t="n"/>
      <x:c r="D124" s="22" t="n"/>
      <x:c r="E124" s="22" t="n"/>
      <x:c r="F124" s="23" t="n"/>
      <x:c r="G124" s="23" t="n"/>
      <x:c r="H124" s="24">
        <x:f>IF(OR(ISBLANK(F124),ISBLANK(G124)),"",G124-F124)</x:f>
      </x:c>
      <x:c r="I124" s="25" t="n"/>
      <x:c r="J124" s="25" t="n"/>
      <x:c r="K124" s="25" t="n"/>
      <x:c r="L124" s="22" t="n"/>
      <x:c r="M124" s="22" t="n"/>
      <x:c r="N124" s="22" t="n"/>
      <x:c r="O124" s="22" t="n"/>
      <x:c r="P124" s="25" t="n"/>
      <x:c r="Q124" s="25" t="n"/>
      <x:c r="R124" s="25" t="n"/>
      <x:c r="S124" s="22" t="n"/>
      <x:c r="T124" s="23" t="n"/>
      <x:c r="U124" s="25" t="n"/>
      <x:c r="V124" s="25" t="n"/>
      <x:c r="W124" s="25">
        <x:f>IF(OR(AND(OR(O124="DELIVERED",O124="PARTIAL"),J124&lt;&gt;TRUE),AND(OR(E124="CASH",E124="DAY CHEQUE",E124="POST DATED CHQ"),I124&lt;&gt;TRUE),AND(OR(E124="CASH",E124="DAY CHEQUE",E124="POST DATED CHQ"),K124&lt;&gt;TRUE),AND(E124="POST DATED CHQ",ISBLANK(M124)),P124=TRUE,Q124=TRUE,AND(R124=TRUE,OR(ISBLANK(S124),ISBLANK(T124))),AND(E124="ONLINE",V124&lt;&gt;TRUE),AND(I124=TRUE,U124&lt;&gt;TRUE)),TRUE,FALSE)</x:f>
      </x:c>
      <x:c r="X124" s="22" t="n"/>
    </x:row>
    <x:row r="125">
      <x:c r="A125" s="22" t="n"/>
      <x:c r="B125" s="22" t="n"/>
      <x:c r="C125" s="22" t="n"/>
      <x:c r="D125" s="22" t="n"/>
      <x:c r="E125" s="22" t="n"/>
      <x:c r="F125" s="23" t="n"/>
      <x:c r="G125" s="23" t="n"/>
      <x:c r="H125" s="24">
        <x:f>IF(OR(ISBLANK(F125),ISBLANK(G125)),"",G125-F125)</x:f>
      </x:c>
      <x:c r="I125" s="25" t="n"/>
      <x:c r="J125" s="25" t="n"/>
      <x:c r="K125" s="25" t="n"/>
      <x:c r="L125" s="22" t="n"/>
      <x:c r="M125" s="22" t="n"/>
      <x:c r="N125" s="22" t="n"/>
      <x:c r="O125" s="22" t="n"/>
      <x:c r="P125" s="25" t="n"/>
      <x:c r="Q125" s="25" t="n"/>
      <x:c r="R125" s="25" t="n"/>
      <x:c r="S125" s="22" t="n"/>
      <x:c r="T125" s="23" t="n"/>
      <x:c r="U125" s="25" t="n"/>
      <x:c r="V125" s="25" t="n"/>
      <x:c r="W125" s="25">
        <x:f>IF(OR(AND(OR(O125="DELIVERED",O125="PARTIAL"),J125&lt;&gt;TRUE),AND(OR(E125="CASH",E125="DAY CHEQUE",E125="POST DATED CHQ"),I125&lt;&gt;TRUE),AND(OR(E125="CASH",E125="DAY CHEQUE",E125="POST DATED CHQ"),K125&lt;&gt;TRUE),AND(E125="POST DATED CHQ",ISBLANK(M125)),P125=TRUE,Q125=TRUE,AND(R125=TRUE,OR(ISBLANK(S125),ISBLANK(T125))),AND(E125="ONLINE",V125&lt;&gt;TRUE),AND(I125=TRUE,U125&lt;&gt;TRUE)),TRUE,FALSE)</x:f>
      </x:c>
      <x:c r="X125" s="22" t="n"/>
    </x:row>
    <x:row r="126">
      <x:c r="A126" s="22" t="n"/>
      <x:c r="B126" s="22" t="n"/>
      <x:c r="C126" s="22" t="n"/>
      <x:c r="D126" s="22" t="n"/>
      <x:c r="E126" s="22" t="n"/>
      <x:c r="F126" s="23" t="n"/>
      <x:c r="G126" s="23" t="n"/>
      <x:c r="H126" s="24">
        <x:f>IF(OR(ISBLANK(F126),ISBLANK(G126)),"",G126-F126)</x:f>
      </x:c>
      <x:c r="I126" s="25" t="n"/>
      <x:c r="J126" s="25" t="n"/>
      <x:c r="K126" s="25" t="n"/>
      <x:c r="L126" s="22" t="n"/>
      <x:c r="M126" s="22" t="n"/>
      <x:c r="N126" s="22" t="n"/>
      <x:c r="O126" s="22" t="n"/>
      <x:c r="P126" s="25" t="n"/>
      <x:c r="Q126" s="25" t="n"/>
      <x:c r="R126" s="25" t="n"/>
      <x:c r="S126" s="22" t="n"/>
      <x:c r="T126" s="23" t="n"/>
      <x:c r="U126" s="25" t="n"/>
      <x:c r="V126" s="25" t="n"/>
      <x:c r="W126" s="25">
        <x:f>IF(OR(AND(OR(O126="DELIVERED",O126="PARTIAL"),J126&lt;&gt;TRUE),AND(OR(E126="CASH",E126="DAY CHEQUE",E126="POST DATED CHQ"),I126&lt;&gt;TRUE),AND(OR(E126="CASH",E126="DAY CHEQUE",E126="POST DATED CHQ"),K126&lt;&gt;TRUE),AND(E126="POST DATED CHQ",ISBLANK(M126)),P126=TRUE,Q126=TRUE,AND(R126=TRUE,OR(ISBLANK(S126),ISBLANK(T126))),AND(E126="ONLINE",V126&lt;&gt;TRUE),AND(I126=TRUE,U126&lt;&gt;TRUE)),TRUE,FALSE)</x:f>
      </x:c>
      <x:c r="X126" s="22" t="n"/>
    </x:row>
    <x:row r="127">
      <x:c r="A127" s="22" t="n"/>
      <x:c r="B127" s="22" t="n"/>
      <x:c r="C127" s="22" t="n"/>
      <x:c r="D127" s="22" t="n"/>
      <x:c r="E127" s="22" t="n"/>
      <x:c r="F127" s="23" t="n"/>
      <x:c r="G127" s="23" t="n"/>
      <x:c r="H127" s="24">
        <x:f>IF(OR(ISBLANK(F127),ISBLANK(G127)),"",G127-F127)</x:f>
      </x:c>
      <x:c r="I127" s="25" t="n"/>
      <x:c r="J127" s="25" t="n"/>
      <x:c r="K127" s="25" t="n"/>
      <x:c r="L127" s="22" t="n"/>
      <x:c r="M127" s="22" t="n"/>
      <x:c r="N127" s="22" t="n"/>
      <x:c r="O127" s="22" t="n"/>
      <x:c r="P127" s="25" t="n"/>
      <x:c r="Q127" s="25" t="n"/>
      <x:c r="R127" s="25" t="n"/>
      <x:c r="S127" s="22" t="n"/>
      <x:c r="T127" s="23" t="n"/>
      <x:c r="U127" s="25" t="n"/>
      <x:c r="V127" s="25" t="n"/>
      <x:c r="W127" s="25">
        <x:f>IF(OR(AND(OR(O127="DELIVERED",O127="PARTIAL"),J127&lt;&gt;TRUE),AND(OR(E127="CASH",E127="DAY CHEQUE",E127="POST DATED CHQ"),I127&lt;&gt;TRUE),AND(OR(E127="CASH",E127="DAY CHEQUE",E127="POST DATED CHQ"),K127&lt;&gt;TRUE),AND(E127="POST DATED CHQ",ISBLANK(M127)),P127=TRUE,Q127=TRUE,AND(R127=TRUE,OR(ISBLANK(S127),ISBLANK(T127))),AND(E127="ONLINE",V127&lt;&gt;TRUE),AND(I127=TRUE,U127&lt;&gt;TRUE)),TRUE,FALSE)</x:f>
      </x:c>
      <x:c r="X127" s="22" t="n"/>
    </x:row>
    <x:row r="128">
      <x:c r="A128" s="22" t="n"/>
      <x:c r="B128" s="22" t="n"/>
      <x:c r="C128" s="22" t="n"/>
      <x:c r="D128" s="22" t="n"/>
      <x:c r="E128" s="22" t="n"/>
      <x:c r="F128" s="23" t="n"/>
      <x:c r="G128" s="23" t="n"/>
      <x:c r="H128" s="24">
        <x:f>IF(OR(ISBLANK(F128),ISBLANK(G128)),"",G128-F128)</x:f>
      </x:c>
      <x:c r="I128" s="25" t="n"/>
      <x:c r="J128" s="25" t="n"/>
      <x:c r="K128" s="25" t="n"/>
      <x:c r="L128" s="22" t="n"/>
      <x:c r="M128" s="22" t="n"/>
      <x:c r="N128" s="22" t="n"/>
      <x:c r="O128" s="22" t="n"/>
      <x:c r="P128" s="25" t="n"/>
      <x:c r="Q128" s="25" t="n"/>
      <x:c r="R128" s="25" t="n"/>
      <x:c r="S128" s="22" t="n"/>
      <x:c r="T128" s="23" t="n"/>
      <x:c r="U128" s="25" t="n"/>
      <x:c r="V128" s="25" t="n"/>
      <x:c r="W128" s="25">
        <x:f>IF(OR(AND(OR(O128="DELIVERED",O128="PARTIAL"),J128&lt;&gt;TRUE),AND(OR(E128="CASH",E128="DAY CHEQUE",E128="POST DATED CHQ"),I128&lt;&gt;TRUE),AND(OR(E128="CASH",E128="DAY CHEQUE",E128="POST DATED CHQ"),K128&lt;&gt;TRUE),AND(E128="POST DATED CHQ",ISBLANK(M128)),P128=TRUE,Q128=TRUE,AND(R128=TRUE,OR(ISBLANK(S128),ISBLANK(T128))),AND(E128="ONLINE",V128&lt;&gt;TRUE),AND(I128=TRUE,U128&lt;&gt;TRUE)),TRUE,FALSE)</x:f>
      </x:c>
      <x:c r="X128" s="22" t="n"/>
    </x:row>
    <x:row r="129">
      <x:c r="A129" s="22" t="n"/>
      <x:c r="B129" s="22" t="n"/>
      <x:c r="C129" s="22" t="n"/>
      <x:c r="D129" s="22" t="n"/>
      <x:c r="E129" s="22" t="n"/>
      <x:c r="F129" s="23" t="n"/>
      <x:c r="G129" s="23" t="n"/>
      <x:c r="H129" s="24">
        <x:f>IF(OR(ISBLANK(F129),ISBLANK(G129)),"",G129-F129)</x:f>
      </x:c>
      <x:c r="I129" s="25" t="n"/>
      <x:c r="J129" s="25" t="n"/>
      <x:c r="K129" s="25" t="n"/>
      <x:c r="L129" s="22" t="n"/>
      <x:c r="M129" s="22" t="n"/>
      <x:c r="N129" s="22" t="n"/>
      <x:c r="O129" s="22" t="n"/>
      <x:c r="P129" s="25" t="n"/>
      <x:c r="Q129" s="25" t="n"/>
      <x:c r="R129" s="25" t="n"/>
      <x:c r="S129" s="22" t="n"/>
      <x:c r="T129" s="23" t="n"/>
      <x:c r="U129" s="25" t="n"/>
      <x:c r="V129" s="25" t="n"/>
      <x:c r="W129" s="25">
        <x:f>IF(OR(AND(OR(O129="DELIVERED",O129="PARTIAL"),J129&lt;&gt;TRUE),AND(OR(E129="CASH",E129="DAY CHEQUE",E129="POST DATED CHQ"),I129&lt;&gt;TRUE),AND(OR(E129="CASH",E129="DAY CHEQUE",E129="POST DATED CHQ"),K129&lt;&gt;TRUE),AND(E129="POST DATED CHQ",ISBLANK(M129)),P129=TRUE,Q129=TRUE,AND(R129=TRUE,OR(ISBLANK(S129),ISBLANK(T129))),AND(E129="ONLINE",V129&lt;&gt;TRUE),AND(I129=TRUE,U129&lt;&gt;TRUE)),TRUE,FALSE)</x:f>
      </x:c>
      <x:c r="X129" s="22" t="n"/>
    </x:row>
    <x:row r="130">
      <x:c r="A130" s="22" t="n"/>
      <x:c r="B130" s="22" t="n"/>
      <x:c r="C130" s="22" t="n"/>
      <x:c r="D130" s="22" t="n"/>
      <x:c r="E130" s="22" t="n"/>
      <x:c r="F130" s="23" t="n"/>
      <x:c r="G130" s="23" t="n"/>
      <x:c r="H130" s="24">
        <x:f>IF(OR(ISBLANK(F130),ISBLANK(G130)),"",G130-F130)</x:f>
      </x:c>
      <x:c r="I130" s="25" t="n"/>
      <x:c r="J130" s="25" t="n"/>
      <x:c r="K130" s="25" t="n"/>
      <x:c r="L130" s="22" t="n"/>
      <x:c r="M130" s="22" t="n"/>
      <x:c r="N130" s="22" t="n"/>
      <x:c r="O130" s="22" t="n"/>
      <x:c r="P130" s="25" t="n"/>
      <x:c r="Q130" s="25" t="n"/>
      <x:c r="R130" s="25" t="n"/>
      <x:c r="S130" s="22" t="n"/>
      <x:c r="T130" s="23" t="n"/>
      <x:c r="U130" s="25" t="n"/>
      <x:c r="V130" s="25" t="n"/>
      <x:c r="W130" s="25">
        <x:f>IF(OR(AND(OR(O130="DELIVERED",O130="PARTIAL"),J130&lt;&gt;TRUE),AND(OR(E130="CASH",E130="DAY CHEQUE",E130="POST DATED CHQ"),I130&lt;&gt;TRUE),AND(OR(E130="CASH",E130="DAY CHEQUE",E130="POST DATED CHQ"),K130&lt;&gt;TRUE),AND(E130="POST DATED CHQ",ISBLANK(M130)),P130=TRUE,Q130=TRUE,AND(R130=TRUE,OR(ISBLANK(S130),ISBLANK(T130))),AND(E130="ONLINE",V130&lt;&gt;TRUE),AND(I130=TRUE,U130&lt;&gt;TRUE)),TRUE,FALSE)</x:f>
      </x:c>
      <x:c r="X130" s="22" t="n"/>
    </x:row>
    <x:row r="131">
      <x:c r="A131" s="22" t="n"/>
      <x:c r="B131" s="22" t="n"/>
      <x:c r="C131" s="22" t="n"/>
      <x:c r="D131" s="22" t="n"/>
      <x:c r="E131" s="22" t="n"/>
      <x:c r="F131" s="23" t="n"/>
      <x:c r="G131" s="23" t="n"/>
      <x:c r="H131" s="24">
        <x:f>IF(OR(ISBLANK(F131),ISBLANK(G131)),"",G131-F131)</x:f>
      </x:c>
      <x:c r="I131" s="25" t="n"/>
      <x:c r="J131" s="25" t="n"/>
      <x:c r="K131" s="25" t="n"/>
      <x:c r="L131" s="22" t="n"/>
      <x:c r="M131" s="22" t="n"/>
      <x:c r="N131" s="22" t="n"/>
      <x:c r="O131" s="22" t="n"/>
      <x:c r="P131" s="25" t="n"/>
      <x:c r="Q131" s="25" t="n"/>
      <x:c r="R131" s="25" t="n"/>
      <x:c r="S131" s="22" t="n"/>
      <x:c r="T131" s="23" t="n"/>
      <x:c r="U131" s="25" t="n"/>
      <x:c r="V131" s="25" t="n"/>
      <x:c r="W131" s="25">
        <x:f>IF(OR(AND(OR(O131="DELIVERED",O131="PARTIAL"),J131&lt;&gt;TRUE),AND(OR(E131="CASH",E131="DAY CHEQUE",E131="POST DATED CHQ"),I131&lt;&gt;TRUE),AND(OR(E131="CASH",E131="DAY CHEQUE",E131="POST DATED CHQ"),K131&lt;&gt;TRUE),AND(E131="POST DATED CHQ",ISBLANK(M131)),P131=TRUE,Q131=TRUE,AND(R131=TRUE,OR(ISBLANK(S131),ISBLANK(T131))),AND(E131="ONLINE",V131&lt;&gt;TRUE),AND(I131=TRUE,U131&lt;&gt;TRUE)),TRUE,FALSE)</x:f>
      </x:c>
      <x:c r="X131" s="22" t="n"/>
    </x:row>
    <x:row r="132">
      <x:c r="A132" s="22" t="n"/>
      <x:c r="B132" s="22" t="n"/>
      <x:c r="C132" s="22" t="n"/>
      <x:c r="D132" s="22" t="n"/>
      <x:c r="E132" s="22" t="n"/>
      <x:c r="F132" s="23" t="n"/>
      <x:c r="G132" s="23" t="n"/>
      <x:c r="H132" s="24">
        <x:f>IF(OR(ISBLANK(F132),ISBLANK(G132)),"",G132-F132)</x:f>
      </x:c>
      <x:c r="I132" s="25" t="n"/>
      <x:c r="J132" s="25" t="n"/>
      <x:c r="K132" s="25" t="n"/>
      <x:c r="L132" s="22" t="n"/>
      <x:c r="M132" s="22" t="n"/>
      <x:c r="N132" s="22" t="n"/>
      <x:c r="O132" s="22" t="n"/>
      <x:c r="P132" s="25" t="n"/>
      <x:c r="Q132" s="25" t="n"/>
      <x:c r="R132" s="25" t="n"/>
      <x:c r="S132" s="22" t="n"/>
      <x:c r="T132" s="23" t="n"/>
      <x:c r="U132" s="25" t="n"/>
      <x:c r="V132" s="25" t="n"/>
      <x:c r="W132" s="25">
        <x:f>IF(OR(AND(OR(O132="DELIVERED",O132="PARTIAL"),J132&lt;&gt;TRUE),AND(OR(E132="CASH",E132="DAY CHEQUE",E132="POST DATED CHQ"),I132&lt;&gt;TRUE),AND(OR(E132="CASH",E132="DAY CHEQUE",E132="POST DATED CHQ"),K132&lt;&gt;TRUE),AND(E132="POST DATED CHQ",ISBLANK(M132)),P132=TRUE,Q132=TRUE,AND(R132=TRUE,OR(ISBLANK(S132),ISBLANK(T132))),AND(E132="ONLINE",V132&lt;&gt;TRUE),AND(I132=TRUE,U132&lt;&gt;TRUE)),TRUE,FALSE)</x:f>
      </x:c>
      <x:c r="X132" s="22" t="n"/>
    </x:row>
    <x:row r="133">
      <x:c r="A133" s="22" t="n"/>
      <x:c r="B133" s="22" t="n"/>
      <x:c r="C133" s="22" t="n"/>
      <x:c r="D133" s="22" t="n"/>
      <x:c r="E133" s="22" t="n"/>
      <x:c r="F133" s="23" t="n"/>
      <x:c r="G133" s="23" t="n"/>
      <x:c r="H133" s="24">
        <x:f>IF(OR(ISBLANK(F133),ISBLANK(G133)),"",G133-F133)</x:f>
      </x:c>
      <x:c r="I133" s="25" t="n"/>
      <x:c r="J133" s="25" t="n"/>
      <x:c r="K133" s="25" t="n"/>
      <x:c r="L133" s="22" t="n"/>
      <x:c r="M133" s="22" t="n"/>
      <x:c r="N133" s="22" t="n"/>
      <x:c r="O133" s="22" t="n"/>
      <x:c r="P133" s="25" t="n"/>
      <x:c r="Q133" s="25" t="n"/>
      <x:c r="R133" s="25" t="n"/>
      <x:c r="S133" s="22" t="n"/>
      <x:c r="T133" s="23" t="n"/>
      <x:c r="U133" s="25" t="n"/>
      <x:c r="V133" s="25" t="n"/>
      <x:c r="W133" s="25">
        <x:f>IF(OR(AND(OR(O133="DELIVERED",O133="PARTIAL"),J133&lt;&gt;TRUE),AND(OR(E133="CASH",E133="DAY CHEQUE",E133="POST DATED CHQ"),I133&lt;&gt;TRUE),AND(OR(E133="CASH",E133="DAY CHEQUE",E133="POST DATED CHQ"),K133&lt;&gt;TRUE),AND(E133="POST DATED CHQ",ISBLANK(M133)),P133=TRUE,Q133=TRUE,AND(R133=TRUE,OR(ISBLANK(S133),ISBLANK(T133))),AND(E133="ONLINE",V133&lt;&gt;TRUE),AND(I133=TRUE,U133&lt;&gt;TRUE)),TRUE,FALSE)</x:f>
      </x:c>
      <x:c r="X133" s="22" t="n"/>
    </x:row>
    <x:row r="134">
      <x:c r="A134" s="22" t="n"/>
      <x:c r="B134" s="22" t="n"/>
      <x:c r="C134" s="22" t="n"/>
      <x:c r="D134" s="22" t="n"/>
      <x:c r="E134" s="22" t="n"/>
      <x:c r="F134" s="23" t="n"/>
      <x:c r="G134" s="23" t="n"/>
      <x:c r="H134" s="24">
        <x:f>IF(OR(ISBLANK(F134),ISBLANK(G134)),"",G134-F134)</x:f>
      </x:c>
      <x:c r="I134" s="25" t="n"/>
      <x:c r="J134" s="25" t="n"/>
      <x:c r="K134" s="25" t="n"/>
      <x:c r="L134" s="22" t="n"/>
      <x:c r="M134" s="22" t="n"/>
      <x:c r="N134" s="22" t="n"/>
      <x:c r="O134" s="22" t="n"/>
      <x:c r="P134" s="25" t="n"/>
      <x:c r="Q134" s="25" t="n"/>
      <x:c r="R134" s="25" t="n"/>
      <x:c r="S134" s="22" t="n"/>
      <x:c r="T134" s="23" t="n"/>
      <x:c r="U134" s="25" t="n"/>
      <x:c r="V134" s="25" t="n"/>
      <x:c r="W134" s="25">
        <x:f>IF(OR(AND(OR(O134="DELIVERED",O134="PARTIAL"),J134&lt;&gt;TRUE),AND(OR(E134="CASH",E134="DAY CHEQUE",E134="POST DATED CHQ"),I134&lt;&gt;TRUE),AND(OR(E134="CASH",E134="DAY CHEQUE",E134="POST DATED CHQ"),K134&lt;&gt;TRUE),AND(E134="POST DATED CHQ",ISBLANK(M134)),P134=TRUE,Q134=TRUE,AND(R134=TRUE,OR(ISBLANK(S134),ISBLANK(T134))),AND(E134="ONLINE",V134&lt;&gt;TRUE),AND(I134=TRUE,U134&lt;&gt;TRUE)),TRUE,FALSE)</x:f>
      </x:c>
      <x:c r="X134" s="22" t="n"/>
    </x:row>
    <x:row r="135">
      <x:c r="A135" s="22" t="n"/>
      <x:c r="B135" s="22" t="n"/>
      <x:c r="C135" s="22" t="n"/>
      <x:c r="D135" s="22" t="n"/>
      <x:c r="E135" s="22" t="n"/>
      <x:c r="F135" s="23" t="n"/>
      <x:c r="G135" s="23" t="n"/>
      <x:c r="H135" s="24">
        <x:f>IF(OR(ISBLANK(F135),ISBLANK(G135)),"",G135-F135)</x:f>
      </x:c>
      <x:c r="I135" s="25" t="n"/>
      <x:c r="J135" s="25" t="n"/>
      <x:c r="K135" s="25" t="n"/>
      <x:c r="L135" s="22" t="n"/>
      <x:c r="M135" s="22" t="n"/>
      <x:c r="N135" s="22" t="n"/>
      <x:c r="O135" s="22" t="n"/>
      <x:c r="P135" s="25" t="n"/>
      <x:c r="Q135" s="25" t="n"/>
      <x:c r="R135" s="25" t="n"/>
      <x:c r="S135" s="22" t="n"/>
      <x:c r="T135" s="23" t="n"/>
      <x:c r="U135" s="25" t="n"/>
      <x:c r="V135" s="25" t="n"/>
      <x:c r="W135" s="25">
        <x:f>IF(OR(AND(OR(O135="DELIVERED",O135="PARTIAL"),J135&lt;&gt;TRUE),AND(OR(E135="CASH",E135="DAY CHEQUE",E135="POST DATED CHQ"),I135&lt;&gt;TRUE),AND(OR(E135="CASH",E135="DAY CHEQUE",E135="POST DATED CHQ"),K135&lt;&gt;TRUE),AND(E135="POST DATED CHQ",ISBLANK(M135)),P135=TRUE,Q135=TRUE,AND(R135=TRUE,OR(ISBLANK(S135),ISBLANK(T135))),AND(E135="ONLINE",V135&lt;&gt;TRUE),AND(I135=TRUE,U135&lt;&gt;TRUE)),TRUE,FALSE)</x:f>
      </x:c>
      <x:c r="X135" s="22" t="n"/>
    </x:row>
    <x:row r="136">
      <x:c r="A136" s="22" t="n"/>
      <x:c r="B136" s="22" t="n"/>
      <x:c r="C136" s="22" t="n"/>
      <x:c r="D136" s="22" t="n"/>
      <x:c r="E136" s="22" t="n"/>
      <x:c r="F136" s="23" t="n"/>
      <x:c r="G136" s="23" t="n"/>
      <x:c r="H136" s="24">
        <x:f>IF(OR(ISBLANK(F136),ISBLANK(G136)),"",G136-F136)</x:f>
      </x:c>
      <x:c r="I136" s="25" t="n"/>
      <x:c r="J136" s="25" t="n"/>
      <x:c r="K136" s="25" t="n"/>
      <x:c r="L136" s="22" t="n"/>
      <x:c r="M136" s="22" t="n"/>
      <x:c r="N136" s="22" t="n"/>
      <x:c r="O136" s="22" t="n"/>
      <x:c r="P136" s="25" t="n"/>
      <x:c r="Q136" s="25" t="n"/>
      <x:c r="R136" s="25" t="n"/>
      <x:c r="S136" s="22" t="n"/>
      <x:c r="T136" s="23" t="n"/>
      <x:c r="U136" s="25" t="n"/>
      <x:c r="V136" s="25" t="n"/>
      <x:c r="W136" s="25">
        <x:f>IF(OR(AND(OR(O136="DELIVERED",O136="PARTIAL"),J136&lt;&gt;TRUE),AND(OR(E136="CASH",E136="DAY CHEQUE",E136="POST DATED CHQ"),I136&lt;&gt;TRUE),AND(OR(E136="CASH",E136="DAY CHEQUE",E136="POST DATED CHQ"),K136&lt;&gt;TRUE),AND(E136="POST DATED CHQ",ISBLANK(M136)),P136=TRUE,Q136=TRUE,AND(R136=TRUE,OR(ISBLANK(S136),ISBLANK(T136))),AND(E136="ONLINE",V136&lt;&gt;TRUE),AND(I136=TRUE,U136&lt;&gt;TRUE)),TRUE,FALSE)</x:f>
      </x:c>
      <x:c r="X136" s="22" t="n"/>
    </x:row>
    <x:row r="137">
      <x:c r="A137" s="22" t="n"/>
      <x:c r="B137" s="22" t="n"/>
      <x:c r="C137" s="22" t="n"/>
      <x:c r="D137" s="22" t="n"/>
      <x:c r="E137" s="22" t="n"/>
      <x:c r="F137" s="23" t="n"/>
      <x:c r="G137" s="23" t="n"/>
      <x:c r="H137" s="24">
        <x:f>IF(OR(ISBLANK(F137),ISBLANK(G137)),"",G137-F137)</x:f>
      </x:c>
      <x:c r="I137" s="25" t="n"/>
      <x:c r="J137" s="25" t="n"/>
      <x:c r="K137" s="25" t="n"/>
      <x:c r="L137" s="22" t="n"/>
      <x:c r="M137" s="22" t="n"/>
      <x:c r="N137" s="22" t="n"/>
      <x:c r="O137" s="22" t="n"/>
      <x:c r="P137" s="25" t="n"/>
      <x:c r="Q137" s="25" t="n"/>
      <x:c r="R137" s="25" t="n"/>
      <x:c r="S137" s="22" t="n"/>
      <x:c r="T137" s="23" t="n"/>
      <x:c r="U137" s="25" t="n"/>
      <x:c r="V137" s="25" t="n"/>
      <x:c r="W137" s="25">
        <x:f>IF(OR(AND(OR(O137="DELIVERED",O137="PARTIAL"),J137&lt;&gt;TRUE),AND(OR(E137="CASH",E137="DAY CHEQUE",E137="POST DATED CHQ"),I137&lt;&gt;TRUE),AND(OR(E137="CASH",E137="DAY CHEQUE",E137="POST DATED CHQ"),K137&lt;&gt;TRUE),AND(E137="POST DATED CHQ",ISBLANK(M137)),P137=TRUE,Q137=TRUE,AND(R137=TRUE,OR(ISBLANK(S137),ISBLANK(T137))),AND(E137="ONLINE",V137&lt;&gt;TRUE),AND(I137=TRUE,U137&lt;&gt;TRUE)),TRUE,FALSE)</x:f>
      </x:c>
      <x:c r="X137" s="22" t="n"/>
    </x:row>
    <x:row r="138">
      <x:c r="A138" s="22" t="n"/>
      <x:c r="B138" s="22" t="n"/>
      <x:c r="C138" s="22" t="n"/>
      <x:c r="D138" s="22" t="n"/>
      <x:c r="E138" s="22" t="n"/>
      <x:c r="F138" s="23" t="n"/>
      <x:c r="G138" s="23" t="n"/>
      <x:c r="H138" s="24">
        <x:f>IF(OR(ISBLANK(F138),ISBLANK(G138)),"",G138-F138)</x:f>
      </x:c>
      <x:c r="I138" s="25" t="n"/>
      <x:c r="J138" s="25" t="n"/>
      <x:c r="K138" s="25" t="n"/>
      <x:c r="L138" s="22" t="n"/>
      <x:c r="M138" s="22" t="n"/>
      <x:c r="N138" s="22" t="n"/>
      <x:c r="O138" s="22" t="n"/>
      <x:c r="P138" s="25" t="n"/>
      <x:c r="Q138" s="25" t="n"/>
      <x:c r="R138" s="25" t="n"/>
      <x:c r="S138" s="22" t="n"/>
      <x:c r="T138" s="23" t="n"/>
      <x:c r="U138" s="25" t="n"/>
      <x:c r="V138" s="25" t="n"/>
      <x:c r="W138" s="25">
        <x:f>IF(OR(AND(OR(O138="DELIVERED",O138="PARTIAL"),J138&lt;&gt;TRUE),AND(OR(E138="CASH",E138="DAY CHEQUE",E138="POST DATED CHQ"),I138&lt;&gt;TRUE),AND(OR(E138="CASH",E138="DAY CHEQUE",E138="POST DATED CHQ"),K138&lt;&gt;TRUE),AND(E138="POST DATED CHQ",ISBLANK(M138)),P138=TRUE,Q138=TRUE,AND(R138=TRUE,OR(ISBLANK(S138),ISBLANK(T138))),AND(E138="ONLINE",V138&lt;&gt;TRUE),AND(I138=TRUE,U138&lt;&gt;TRUE)),TRUE,FALSE)</x:f>
      </x:c>
      <x:c r="X138" s="22" t="n"/>
    </x:row>
    <x:row r="139">
      <x:c r="A139" s="22" t="n"/>
      <x:c r="B139" s="22" t="n"/>
      <x:c r="C139" s="22" t="n"/>
      <x:c r="D139" s="22" t="n"/>
      <x:c r="E139" s="22" t="n"/>
      <x:c r="F139" s="23" t="n"/>
      <x:c r="G139" s="23" t="n"/>
      <x:c r="H139" s="24">
        <x:f>IF(OR(ISBLANK(F139),ISBLANK(G139)),"",G139-F139)</x:f>
      </x:c>
      <x:c r="I139" s="25" t="n"/>
      <x:c r="J139" s="25" t="n"/>
      <x:c r="K139" s="25" t="n"/>
      <x:c r="L139" s="22" t="n"/>
      <x:c r="M139" s="22" t="n"/>
      <x:c r="N139" s="22" t="n"/>
      <x:c r="O139" s="22" t="n"/>
      <x:c r="P139" s="25" t="n"/>
      <x:c r="Q139" s="25" t="n"/>
      <x:c r="R139" s="25" t="n"/>
      <x:c r="S139" s="22" t="n"/>
      <x:c r="T139" s="23" t="n"/>
      <x:c r="U139" s="25" t="n"/>
      <x:c r="V139" s="25" t="n"/>
      <x:c r="W139" s="25">
        <x:f>IF(OR(AND(OR(O139="DELIVERED",O139="PARTIAL"),J139&lt;&gt;TRUE),AND(OR(E139="CASH",E139="DAY CHEQUE",E139="POST DATED CHQ"),I139&lt;&gt;TRUE),AND(OR(E139="CASH",E139="DAY CHEQUE",E139="POST DATED CHQ"),K139&lt;&gt;TRUE),AND(E139="POST DATED CHQ",ISBLANK(M139)),P139=TRUE,Q139=TRUE,AND(R139=TRUE,OR(ISBLANK(S139),ISBLANK(T139))),AND(E139="ONLINE",V139&lt;&gt;TRUE),AND(I139=TRUE,U139&lt;&gt;TRUE)),TRUE,FALSE)</x:f>
      </x:c>
      <x:c r="X139" s="22" t="n"/>
    </x:row>
    <x:row r="140">
      <x:c r="A140" s="22" t="n"/>
      <x:c r="B140" s="22" t="n"/>
      <x:c r="C140" s="22" t="n"/>
      <x:c r="D140" s="22" t="n"/>
      <x:c r="E140" s="22" t="n"/>
      <x:c r="F140" s="23" t="n"/>
      <x:c r="G140" s="23" t="n"/>
      <x:c r="H140" s="24">
        <x:f>IF(OR(ISBLANK(F140),ISBLANK(G140)),"",G140-F140)</x:f>
      </x:c>
      <x:c r="I140" s="25" t="n"/>
      <x:c r="J140" s="25" t="n"/>
      <x:c r="K140" s="25" t="n"/>
      <x:c r="L140" s="22" t="n"/>
      <x:c r="M140" s="22" t="n"/>
      <x:c r="N140" s="22" t="n"/>
      <x:c r="O140" s="22" t="n"/>
      <x:c r="P140" s="25" t="n"/>
      <x:c r="Q140" s="25" t="n"/>
      <x:c r="R140" s="25" t="n"/>
      <x:c r="S140" s="22" t="n"/>
      <x:c r="T140" s="23" t="n"/>
      <x:c r="U140" s="25" t="n"/>
      <x:c r="V140" s="25" t="n"/>
      <x:c r="W140" s="25">
        <x:f>IF(OR(AND(OR(O140="DELIVERED",O140="PARTIAL"),J140&lt;&gt;TRUE),AND(OR(E140="CASH",E140="DAY CHEQUE",E140="POST DATED CHQ"),I140&lt;&gt;TRUE),AND(OR(E140="CASH",E140="DAY CHEQUE",E140="POST DATED CHQ"),K140&lt;&gt;TRUE),AND(E140="POST DATED CHQ",ISBLANK(M140)),P140=TRUE,Q140=TRUE,AND(R140=TRUE,OR(ISBLANK(S140),ISBLANK(T140))),AND(E140="ONLINE",V140&lt;&gt;TRUE),AND(I140=TRUE,U140&lt;&gt;TRUE)),TRUE,FALSE)</x:f>
      </x:c>
      <x:c r="X140" s="22" t="n"/>
    </x:row>
    <x:row r="141">
      <x:c r="A141" s="22" t="n"/>
      <x:c r="B141" s="22" t="n"/>
      <x:c r="C141" s="22" t="n"/>
      <x:c r="D141" s="22" t="n"/>
      <x:c r="E141" s="22" t="n"/>
      <x:c r="F141" s="23" t="n"/>
      <x:c r="G141" s="23" t="n"/>
      <x:c r="H141" s="24">
        <x:f>IF(OR(ISBLANK(F141),ISBLANK(G141)),"",G141-F141)</x:f>
      </x:c>
      <x:c r="I141" s="25" t="n"/>
      <x:c r="J141" s="25" t="n"/>
      <x:c r="K141" s="25" t="n"/>
      <x:c r="L141" s="22" t="n"/>
      <x:c r="M141" s="22" t="n"/>
      <x:c r="N141" s="22" t="n"/>
      <x:c r="O141" s="22" t="n"/>
      <x:c r="P141" s="25" t="n"/>
      <x:c r="Q141" s="25" t="n"/>
      <x:c r="R141" s="25" t="n"/>
      <x:c r="S141" s="22" t="n"/>
      <x:c r="T141" s="23" t="n"/>
      <x:c r="U141" s="25" t="n"/>
      <x:c r="V141" s="25" t="n"/>
      <x:c r="W141" s="25">
        <x:f>IF(OR(AND(OR(O141="DELIVERED",O141="PARTIAL"),J141&lt;&gt;TRUE),AND(OR(E141="CASH",E141="DAY CHEQUE",E141="POST DATED CHQ"),I141&lt;&gt;TRUE),AND(OR(E141="CASH",E141="DAY CHEQUE",E141="POST DATED CHQ"),K141&lt;&gt;TRUE),AND(E141="POST DATED CHQ",ISBLANK(M141)),P141=TRUE,Q141=TRUE,AND(R141=TRUE,OR(ISBLANK(S141),ISBLANK(T141))),AND(E141="ONLINE",V141&lt;&gt;TRUE),AND(I141=TRUE,U141&lt;&gt;TRUE)),TRUE,FALSE)</x:f>
      </x:c>
      <x:c r="X141" s="22" t="n"/>
    </x:row>
    <x:row r="142">
      <x:c r="A142" s="22" t="n"/>
      <x:c r="B142" s="22" t="n"/>
      <x:c r="C142" s="22" t="n"/>
      <x:c r="D142" s="22" t="n"/>
      <x:c r="E142" s="22" t="n"/>
      <x:c r="F142" s="23" t="n"/>
      <x:c r="G142" s="23" t="n"/>
      <x:c r="H142" s="24">
        <x:f>IF(OR(ISBLANK(F142),ISBLANK(G142)),"",G142-F142)</x:f>
      </x:c>
      <x:c r="I142" s="25" t="n"/>
      <x:c r="J142" s="25" t="n"/>
      <x:c r="K142" s="25" t="n"/>
      <x:c r="L142" s="22" t="n"/>
      <x:c r="M142" s="22" t="n"/>
      <x:c r="N142" s="22" t="n"/>
      <x:c r="O142" s="22" t="n"/>
      <x:c r="P142" s="25" t="n"/>
      <x:c r="Q142" s="25" t="n"/>
      <x:c r="R142" s="25" t="n"/>
      <x:c r="S142" s="22" t="n"/>
      <x:c r="T142" s="23" t="n"/>
      <x:c r="U142" s="25" t="n"/>
      <x:c r="V142" s="25" t="n"/>
      <x:c r="W142" s="25">
        <x:f>IF(OR(AND(OR(O142="DELIVERED",O142="PARTIAL"),J142&lt;&gt;TRUE),AND(OR(E142="CASH",E142="DAY CHEQUE",E142="POST DATED CHQ"),I142&lt;&gt;TRUE),AND(OR(E142="CASH",E142="DAY CHEQUE",E142="POST DATED CHQ"),K142&lt;&gt;TRUE),AND(E142="POST DATED CHQ",ISBLANK(M142)),P142=TRUE,Q142=TRUE,AND(R142=TRUE,OR(ISBLANK(S142),ISBLANK(T142))),AND(E142="ONLINE",V142&lt;&gt;TRUE),AND(I142=TRUE,U142&lt;&gt;TRUE)),TRUE,FALSE)</x:f>
      </x:c>
      <x:c r="X142" s="22" t="n"/>
    </x:row>
    <x:row r="143">
      <x:c r="A143" s="22" t="n"/>
      <x:c r="B143" s="22" t="n"/>
      <x:c r="C143" s="22" t="n"/>
      <x:c r="D143" s="22" t="n"/>
      <x:c r="E143" s="22" t="n"/>
      <x:c r="F143" s="23" t="n"/>
      <x:c r="G143" s="23" t="n"/>
      <x:c r="H143" s="24">
        <x:f>IF(OR(ISBLANK(F143),ISBLANK(G143)),"",G143-F143)</x:f>
      </x:c>
      <x:c r="I143" s="25" t="n"/>
      <x:c r="J143" s="25" t="n"/>
      <x:c r="K143" s="25" t="n"/>
      <x:c r="L143" s="22" t="n"/>
      <x:c r="M143" s="22" t="n"/>
      <x:c r="N143" s="22" t="n"/>
      <x:c r="O143" s="22" t="n"/>
      <x:c r="P143" s="25" t="n"/>
      <x:c r="Q143" s="25" t="n"/>
      <x:c r="R143" s="25" t="n"/>
      <x:c r="S143" s="22" t="n"/>
      <x:c r="T143" s="23" t="n"/>
      <x:c r="U143" s="25" t="n"/>
      <x:c r="V143" s="25" t="n"/>
      <x:c r="W143" s="25">
        <x:f>IF(OR(AND(OR(O143="DELIVERED",O143="PARTIAL"),J143&lt;&gt;TRUE),AND(OR(E143="CASH",E143="DAY CHEQUE",E143="POST DATED CHQ"),I143&lt;&gt;TRUE),AND(OR(E143="CASH",E143="DAY CHEQUE",E143="POST DATED CHQ"),K143&lt;&gt;TRUE),AND(E143="POST DATED CHQ",ISBLANK(M143)),P143=TRUE,Q143=TRUE,AND(R143=TRUE,OR(ISBLANK(S143),ISBLANK(T143))),AND(E143="ONLINE",V143&lt;&gt;TRUE),AND(I143=TRUE,U143&lt;&gt;TRUE)),TRUE,FALSE)</x:f>
      </x:c>
      <x:c r="X143" s="22" t="n"/>
    </x:row>
    <x:row r="144">
      <x:c r="A144" s="22" t="n"/>
      <x:c r="B144" s="22" t="n"/>
      <x:c r="C144" s="22" t="n"/>
      <x:c r="D144" s="22" t="n"/>
      <x:c r="E144" s="22" t="n"/>
      <x:c r="F144" s="23" t="n"/>
      <x:c r="G144" s="23" t="n"/>
      <x:c r="H144" s="24">
        <x:f>IF(OR(ISBLANK(F144),ISBLANK(G144)),"",G144-F144)</x:f>
      </x:c>
      <x:c r="I144" s="25" t="n"/>
      <x:c r="J144" s="25" t="n"/>
      <x:c r="K144" s="25" t="n"/>
      <x:c r="L144" s="22" t="n"/>
      <x:c r="M144" s="22" t="n"/>
      <x:c r="N144" s="22" t="n"/>
      <x:c r="O144" s="22" t="n"/>
      <x:c r="P144" s="25" t="n"/>
      <x:c r="Q144" s="25" t="n"/>
      <x:c r="R144" s="25" t="n"/>
      <x:c r="S144" s="22" t="n"/>
      <x:c r="T144" s="23" t="n"/>
      <x:c r="U144" s="25" t="n"/>
      <x:c r="V144" s="25" t="n"/>
      <x:c r="W144" s="25">
        <x:f>IF(OR(AND(OR(O144="DELIVERED",O144="PARTIAL"),J144&lt;&gt;TRUE),AND(OR(E144="CASH",E144="DAY CHEQUE",E144="POST DATED CHQ"),I144&lt;&gt;TRUE),AND(OR(E144="CASH",E144="DAY CHEQUE",E144="POST DATED CHQ"),K144&lt;&gt;TRUE),AND(E144="POST DATED CHQ",ISBLANK(M144)),P144=TRUE,Q144=TRUE,AND(R144=TRUE,OR(ISBLANK(S144),ISBLANK(T144))),AND(E144="ONLINE",V144&lt;&gt;TRUE),AND(I144=TRUE,U144&lt;&gt;TRUE)),TRUE,FALSE)</x:f>
      </x:c>
      <x:c r="X144" s="22" t="n"/>
    </x:row>
    <x:row r="145">
      <x:c r="A145" s="22" t="n"/>
      <x:c r="B145" s="22" t="n"/>
      <x:c r="C145" s="22" t="n"/>
      <x:c r="D145" s="22" t="n"/>
      <x:c r="E145" s="22" t="n"/>
      <x:c r="F145" s="23" t="n"/>
      <x:c r="G145" s="23" t="n"/>
      <x:c r="H145" s="24">
        <x:f>IF(OR(ISBLANK(F145),ISBLANK(G145)),"",G145-F145)</x:f>
      </x:c>
      <x:c r="I145" s="25" t="n"/>
      <x:c r="J145" s="25" t="n"/>
      <x:c r="K145" s="25" t="n"/>
      <x:c r="L145" s="22" t="n"/>
      <x:c r="M145" s="22" t="n"/>
      <x:c r="N145" s="22" t="n"/>
      <x:c r="O145" s="22" t="n"/>
      <x:c r="P145" s="25" t="n"/>
      <x:c r="Q145" s="25" t="n"/>
      <x:c r="R145" s="25" t="n"/>
      <x:c r="S145" s="22" t="n"/>
      <x:c r="T145" s="23" t="n"/>
      <x:c r="U145" s="25" t="n"/>
      <x:c r="V145" s="25" t="n"/>
      <x:c r="W145" s="25">
        <x:f>IF(OR(AND(OR(O145="DELIVERED",O145="PARTIAL"),J145&lt;&gt;TRUE),AND(OR(E145="CASH",E145="DAY CHEQUE",E145="POST DATED CHQ"),I145&lt;&gt;TRUE),AND(OR(E145="CASH",E145="DAY CHEQUE",E145="POST DATED CHQ"),K145&lt;&gt;TRUE),AND(E145="POST DATED CHQ",ISBLANK(M145)),P145=TRUE,Q145=TRUE,AND(R145=TRUE,OR(ISBLANK(S145),ISBLANK(T145))),AND(E145="ONLINE",V145&lt;&gt;TRUE),AND(I145=TRUE,U145&lt;&gt;TRUE)),TRUE,FALSE)</x:f>
      </x:c>
      <x:c r="X145" s="22" t="n"/>
    </x:row>
    <x:row r="146">
      <x:c r="A146" s="22" t="n"/>
      <x:c r="B146" s="22" t="n"/>
      <x:c r="C146" s="22" t="n"/>
      <x:c r="D146" s="22" t="n"/>
      <x:c r="E146" s="22" t="n"/>
      <x:c r="F146" s="23" t="n"/>
      <x:c r="G146" s="23" t="n"/>
      <x:c r="H146" s="24">
        <x:f>IF(OR(ISBLANK(F146),ISBLANK(G146)),"",G146-F146)</x:f>
      </x:c>
      <x:c r="I146" s="25" t="n"/>
      <x:c r="J146" s="25" t="n"/>
      <x:c r="K146" s="25" t="n"/>
      <x:c r="L146" s="22" t="n"/>
      <x:c r="M146" s="22" t="n"/>
      <x:c r="N146" s="22" t="n"/>
      <x:c r="O146" s="22" t="n"/>
      <x:c r="P146" s="25" t="n"/>
      <x:c r="Q146" s="25" t="n"/>
      <x:c r="R146" s="25" t="n"/>
      <x:c r="S146" s="22" t="n"/>
      <x:c r="T146" s="23" t="n"/>
      <x:c r="U146" s="25" t="n"/>
      <x:c r="V146" s="25" t="n"/>
      <x:c r="W146" s="25">
        <x:f>IF(OR(AND(OR(O146="DELIVERED",O146="PARTIAL"),J146&lt;&gt;TRUE),AND(OR(E146="CASH",E146="DAY CHEQUE",E146="POST DATED CHQ"),I146&lt;&gt;TRUE),AND(OR(E146="CASH",E146="DAY CHEQUE",E146="POST DATED CHQ"),K146&lt;&gt;TRUE),AND(E146="POST DATED CHQ",ISBLANK(M146)),P146=TRUE,Q146=TRUE,AND(R146=TRUE,OR(ISBLANK(S146),ISBLANK(T146))),AND(E146="ONLINE",V146&lt;&gt;TRUE),AND(I146=TRUE,U146&lt;&gt;TRUE)),TRUE,FALSE)</x:f>
      </x:c>
      <x:c r="X146" s="22" t="n"/>
    </x:row>
    <x:row r="147">
      <x:c r="A147" s="22" t="n"/>
      <x:c r="B147" s="22" t="n"/>
      <x:c r="C147" s="22" t="n"/>
      <x:c r="D147" s="22" t="n"/>
      <x:c r="E147" s="22" t="n"/>
      <x:c r="F147" s="23" t="n"/>
      <x:c r="G147" s="23" t="n"/>
      <x:c r="H147" s="24">
        <x:f>IF(OR(ISBLANK(F147),ISBLANK(G147)),"",G147-F147)</x:f>
      </x:c>
      <x:c r="I147" s="25" t="n"/>
      <x:c r="J147" s="25" t="n"/>
      <x:c r="K147" s="25" t="n"/>
      <x:c r="L147" s="22" t="n"/>
      <x:c r="M147" s="22" t="n"/>
      <x:c r="N147" s="22" t="n"/>
      <x:c r="O147" s="22" t="n"/>
      <x:c r="P147" s="25" t="n"/>
      <x:c r="Q147" s="25" t="n"/>
      <x:c r="R147" s="25" t="n"/>
      <x:c r="S147" s="22" t="n"/>
      <x:c r="T147" s="23" t="n"/>
      <x:c r="U147" s="25" t="n"/>
      <x:c r="V147" s="25" t="n"/>
      <x:c r="W147" s="25">
        <x:f>IF(OR(AND(OR(O147="DELIVERED",O147="PARTIAL"),J147&lt;&gt;TRUE),AND(OR(E147="CASH",E147="DAY CHEQUE",E147="POST DATED CHQ"),I147&lt;&gt;TRUE),AND(OR(E147="CASH",E147="DAY CHEQUE",E147="POST DATED CHQ"),K147&lt;&gt;TRUE),AND(E147="POST DATED CHQ",ISBLANK(M147)),P147=TRUE,Q147=TRUE,AND(R147=TRUE,OR(ISBLANK(S147),ISBLANK(T147))),AND(E147="ONLINE",V147&lt;&gt;TRUE),AND(I147=TRUE,U147&lt;&gt;TRUE)),TRUE,FALSE)</x:f>
      </x:c>
      <x:c r="X147" s="22" t="n"/>
    </x:row>
    <x:row r="148">
      <x:c r="A148" s="22" t="n"/>
      <x:c r="B148" s="22" t="n"/>
      <x:c r="C148" s="22" t="n"/>
      <x:c r="D148" s="22" t="n"/>
      <x:c r="E148" s="22" t="n"/>
      <x:c r="F148" s="23" t="n"/>
      <x:c r="G148" s="23" t="n"/>
      <x:c r="H148" s="24">
        <x:f>IF(OR(ISBLANK(F148),ISBLANK(G148)),"",G148-F148)</x:f>
      </x:c>
      <x:c r="I148" s="25" t="n"/>
      <x:c r="J148" s="25" t="n"/>
      <x:c r="K148" s="25" t="n"/>
      <x:c r="L148" s="22" t="n"/>
      <x:c r="M148" s="22" t="n"/>
      <x:c r="N148" s="22" t="n"/>
      <x:c r="O148" s="22" t="n"/>
      <x:c r="P148" s="25" t="n"/>
      <x:c r="Q148" s="25" t="n"/>
      <x:c r="R148" s="25" t="n"/>
      <x:c r="S148" s="22" t="n"/>
      <x:c r="T148" s="23" t="n"/>
      <x:c r="U148" s="25" t="n"/>
      <x:c r="V148" s="25" t="n"/>
      <x:c r="W148" s="25">
        <x:f>IF(OR(AND(OR(O148="DELIVERED",O148="PARTIAL"),J148&lt;&gt;TRUE),AND(OR(E148="CASH",E148="DAY CHEQUE",E148="POST DATED CHQ"),I148&lt;&gt;TRUE),AND(OR(E148="CASH",E148="DAY CHEQUE",E148="POST DATED CHQ"),K148&lt;&gt;TRUE),AND(E148="POST DATED CHQ",ISBLANK(M148)),P148=TRUE,Q148=TRUE,AND(R148=TRUE,OR(ISBLANK(S148),ISBLANK(T148))),AND(E148="ONLINE",V148&lt;&gt;TRUE),AND(I148=TRUE,U148&lt;&gt;TRUE)),TRUE,FALSE)</x:f>
      </x:c>
      <x:c r="X148" s="22" t="n"/>
    </x:row>
    <x:row r="149">
      <x:c r="A149" s="22" t="n"/>
      <x:c r="B149" s="22" t="n"/>
      <x:c r="C149" s="22" t="n"/>
      <x:c r="D149" s="22" t="n"/>
      <x:c r="E149" s="22" t="n"/>
      <x:c r="F149" s="23" t="n"/>
      <x:c r="G149" s="23" t="n"/>
      <x:c r="H149" s="24">
        <x:f>IF(OR(ISBLANK(F149),ISBLANK(G149)),"",G149-F149)</x:f>
      </x:c>
      <x:c r="I149" s="25" t="n"/>
      <x:c r="J149" s="25" t="n"/>
      <x:c r="K149" s="25" t="n"/>
      <x:c r="L149" s="22" t="n"/>
      <x:c r="M149" s="22" t="n"/>
      <x:c r="N149" s="22" t="n"/>
      <x:c r="O149" s="22" t="n"/>
      <x:c r="P149" s="25" t="n"/>
      <x:c r="Q149" s="25" t="n"/>
      <x:c r="R149" s="25" t="n"/>
      <x:c r="S149" s="22" t="n"/>
      <x:c r="T149" s="23" t="n"/>
      <x:c r="U149" s="25" t="n"/>
      <x:c r="V149" s="25" t="n"/>
      <x:c r="W149" s="25">
        <x:f>IF(OR(AND(OR(O149="DELIVERED",O149="PARTIAL"),J149&lt;&gt;TRUE),AND(OR(E149="CASH",E149="DAY CHEQUE",E149="POST DATED CHQ"),I149&lt;&gt;TRUE),AND(OR(E149="CASH",E149="DAY CHEQUE",E149="POST DATED CHQ"),K149&lt;&gt;TRUE),AND(E149="POST DATED CHQ",ISBLANK(M149)),P149=TRUE,Q149=TRUE,AND(R149=TRUE,OR(ISBLANK(S149),ISBLANK(T149))),AND(E149="ONLINE",V149&lt;&gt;TRUE),AND(I149=TRUE,U149&lt;&gt;TRUE)),TRUE,FALSE)</x:f>
      </x:c>
      <x:c r="X149" s="22" t="n"/>
    </x:row>
    <x:row r="150">
      <x:c r="A150" s="22" t="n"/>
      <x:c r="B150" s="22" t="n"/>
      <x:c r="C150" s="22" t="n"/>
      <x:c r="D150" s="22" t="n"/>
      <x:c r="E150" s="22" t="n"/>
      <x:c r="F150" s="23" t="n"/>
      <x:c r="G150" s="23" t="n"/>
      <x:c r="H150" s="24">
        <x:f>IF(OR(ISBLANK(F150),ISBLANK(G150)),"",G150-F150)</x:f>
      </x:c>
      <x:c r="I150" s="25" t="n"/>
      <x:c r="J150" s="25" t="n"/>
      <x:c r="K150" s="25" t="n"/>
      <x:c r="L150" s="22" t="n"/>
      <x:c r="M150" s="22" t="n"/>
      <x:c r="N150" s="22" t="n"/>
      <x:c r="O150" s="22" t="n"/>
      <x:c r="P150" s="25" t="n"/>
      <x:c r="Q150" s="25" t="n"/>
      <x:c r="R150" s="25" t="n"/>
      <x:c r="S150" s="22" t="n"/>
      <x:c r="T150" s="23" t="n"/>
      <x:c r="U150" s="25" t="n"/>
      <x:c r="V150" s="25" t="n"/>
      <x:c r="W150" s="25">
        <x:f>IF(OR(AND(OR(O150="DELIVERED",O150="PARTIAL"),J150&lt;&gt;TRUE),AND(OR(E150="CASH",E150="DAY CHEQUE",E150="POST DATED CHQ"),I150&lt;&gt;TRUE),AND(OR(E150="CASH",E150="DAY CHEQUE",E150="POST DATED CHQ"),K150&lt;&gt;TRUE),AND(E150="POST DATED CHQ",ISBLANK(M150)),P150=TRUE,Q150=TRUE,AND(R150=TRUE,OR(ISBLANK(S150),ISBLANK(T150))),AND(E150="ONLINE",V150&lt;&gt;TRUE),AND(I150=TRUE,U150&lt;&gt;TRUE)),TRUE,FALSE)</x:f>
      </x:c>
      <x:c r="X150" s="22" t="n"/>
    </x:row>
    <x:row r="151">
      <x:c r="A151" s="22" t="n"/>
      <x:c r="B151" s="22" t="n"/>
      <x:c r="C151" s="22" t="n"/>
      <x:c r="D151" s="22" t="n"/>
      <x:c r="E151" s="22" t="n"/>
      <x:c r="F151" s="23" t="n"/>
      <x:c r="G151" s="23" t="n"/>
      <x:c r="H151" s="24">
        <x:f>IF(OR(ISBLANK(F151),ISBLANK(G151)),"",G151-F151)</x:f>
      </x:c>
      <x:c r="I151" s="25" t="n"/>
      <x:c r="J151" s="25" t="n"/>
      <x:c r="K151" s="25" t="n"/>
      <x:c r="L151" s="22" t="n"/>
      <x:c r="M151" s="22" t="n"/>
      <x:c r="N151" s="22" t="n"/>
      <x:c r="O151" s="22" t="n"/>
      <x:c r="P151" s="25" t="n"/>
      <x:c r="Q151" s="25" t="n"/>
      <x:c r="R151" s="25" t="n"/>
      <x:c r="S151" s="22" t="n"/>
      <x:c r="T151" s="23" t="n"/>
      <x:c r="U151" s="25" t="n"/>
      <x:c r="V151" s="25" t="n"/>
      <x:c r="W151" s="25">
        <x:f>IF(OR(AND(OR(O151="DELIVERED",O151="PARTIAL"),J151&lt;&gt;TRUE),AND(OR(E151="CASH",E151="DAY CHEQUE",E151="POST DATED CHQ"),I151&lt;&gt;TRUE),AND(OR(E151="CASH",E151="DAY CHEQUE",E151="POST DATED CHQ"),K151&lt;&gt;TRUE),AND(E151="POST DATED CHQ",ISBLANK(M151)),P151=TRUE,Q151=TRUE,AND(R151=TRUE,OR(ISBLANK(S151),ISBLANK(T151))),AND(E151="ONLINE",V151&lt;&gt;TRUE),AND(I151=TRUE,U151&lt;&gt;TRUE)),TRUE,FALSE)</x:f>
      </x:c>
      <x:c r="X151" s="22" t="n"/>
    </x:row>
    <x:row r="152">
      <x:c r="A152" s="22" t="n"/>
      <x:c r="B152" s="22" t="n"/>
      <x:c r="C152" s="22" t="n"/>
      <x:c r="D152" s="22" t="n"/>
      <x:c r="E152" s="22" t="n"/>
      <x:c r="F152" s="23" t="n"/>
      <x:c r="G152" s="23" t="n"/>
      <x:c r="H152" s="24">
        <x:f>IF(OR(ISBLANK(F152),ISBLANK(G152)),"",G152-F152)</x:f>
      </x:c>
      <x:c r="I152" s="25" t="n"/>
      <x:c r="J152" s="25" t="n"/>
      <x:c r="K152" s="25" t="n"/>
      <x:c r="L152" s="22" t="n"/>
      <x:c r="M152" s="22" t="n"/>
      <x:c r="N152" s="22" t="n"/>
      <x:c r="O152" s="22" t="n"/>
      <x:c r="P152" s="25" t="n"/>
      <x:c r="Q152" s="25" t="n"/>
      <x:c r="R152" s="25" t="n"/>
      <x:c r="S152" s="22" t="n"/>
      <x:c r="T152" s="23" t="n"/>
      <x:c r="U152" s="25" t="n"/>
      <x:c r="V152" s="25" t="n"/>
      <x:c r="W152" s="25">
        <x:f>IF(OR(AND(OR(O152="DELIVERED",O152="PARTIAL"),J152&lt;&gt;TRUE),AND(OR(E152="CASH",E152="DAY CHEQUE",E152="POST DATED CHQ"),I152&lt;&gt;TRUE),AND(OR(E152="CASH",E152="DAY CHEQUE",E152="POST DATED CHQ"),K152&lt;&gt;TRUE),AND(E152="POST DATED CHQ",ISBLANK(M152)),P152=TRUE,Q152=TRUE,AND(R152=TRUE,OR(ISBLANK(S152),ISBLANK(T152))),AND(E152="ONLINE",V152&lt;&gt;TRUE),AND(I152=TRUE,U152&lt;&gt;TRUE)),TRUE,FALSE)</x:f>
      </x:c>
      <x:c r="X152" s="22" t="n"/>
    </x:row>
    <x:row r="153">
      <x:c r="A153" s="22" t="n"/>
      <x:c r="B153" s="22" t="n"/>
      <x:c r="C153" s="22" t="n"/>
      <x:c r="D153" s="22" t="n"/>
      <x:c r="E153" s="22" t="n"/>
      <x:c r="F153" s="23" t="n"/>
      <x:c r="G153" s="23" t="n"/>
      <x:c r="H153" s="24">
        <x:f>IF(OR(ISBLANK(F153),ISBLANK(G153)),"",G153-F153)</x:f>
      </x:c>
      <x:c r="I153" s="25" t="n"/>
      <x:c r="J153" s="25" t="n"/>
      <x:c r="K153" s="25" t="n"/>
      <x:c r="L153" s="22" t="n"/>
      <x:c r="M153" s="22" t="n"/>
      <x:c r="N153" s="22" t="n"/>
      <x:c r="O153" s="22" t="n"/>
      <x:c r="P153" s="25" t="n"/>
      <x:c r="Q153" s="25" t="n"/>
      <x:c r="R153" s="25" t="n"/>
      <x:c r="S153" s="22" t="n"/>
      <x:c r="T153" s="23" t="n"/>
      <x:c r="U153" s="25" t="n"/>
      <x:c r="V153" s="25" t="n"/>
      <x:c r="W153" s="25">
        <x:f>IF(OR(AND(OR(O153="DELIVERED",O153="PARTIAL"),J153&lt;&gt;TRUE),AND(OR(E153="CASH",E153="DAY CHEQUE",E153="POST DATED CHQ"),I153&lt;&gt;TRUE),AND(OR(E153="CASH",E153="DAY CHEQUE",E153="POST DATED CHQ"),K153&lt;&gt;TRUE),AND(E153="POST DATED CHQ",ISBLANK(M153)),P153=TRUE,Q153=TRUE,AND(R153=TRUE,OR(ISBLANK(S153),ISBLANK(T153))),AND(E153="ONLINE",V153&lt;&gt;TRUE),AND(I153=TRUE,U153&lt;&gt;TRUE)),TRUE,FALSE)</x:f>
      </x:c>
      <x:c r="X153" s="22" t="n"/>
    </x:row>
    <x:row r="154">
      <x:c r="A154" s="22" t="n"/>
      <x:c r="B154" s="22" t="n"/>
      <x:c r="C154" s="22" t="n"/>
      <x:c r="D154" s="22" t="n"/>
      <x:c r="E154" s="22" t="n"/>
      <x:c r="F154" s="23" t="n"/>
      <x:c r="G154" s="23" t="n"/>
      <x:c r="H154" s="24">
        <x:f>IF(OR(ISBLANK(F154),ISBLANK(G154)),"",G154-F154)</x:f>
      </x:c>
      <x:c r="I154" s="25" t="n"/>
      <x:c r="J154" s="25" t="n"/>
      <x:c r="K154" s="25" t="n"/>
      <x:c r="L154" s="22" t="n"/>
      <x:c r="M154" s="22" t="n"/>
      <x:c r="N154" s="22" t="n"/>
      <x:c r="O154" s="22" t="n"/>
      <x:c r="P154" s="25" t="n"/>
      <x:c r="Q154" s="25" t="n"/>
      <x:c r="R154" s="25" t="n"/>
      <x:c r="S154" s="22" t="n"/>
      <x:c r="T154" s="23" t="n"/>
      <x:c r="U154" s="25" t="n"/>
      <x:c r="V154" s="25" t="n"/>
      <x:c r="W154" s="25">
        <x:f>IF(OR(AND(OR(O154="DELIVERED",O154="PARTIAL"),J154&lt;&gt;TRUE),AND(OR(E154="CASH",E154="DAY CHEQUE",E154="POST DATED CHQ"),I154&lt;&gt;TRUE),AND(OR(E154="CASH",E154="DAY CHEQUE",E154="POST DATED CHQ"),K154&lt;&gt;TRUE),AND(E154="POST DATED CHQ",ISBLANK(M154)),P154=TRUE,Q154=TRUE,AND(R154=TRUE,OR(ISBLANK(S154),ISBLANK(T154))),AND(E154="ONLINE",V154&lt;&gt;TRUE),AND(I154=TRUE,U154&lt;&gt;TRUE)),TRUE,FALSE)</x:f>
      </x:c>
      <x:c r="X154" s="22" t="n"/>
    </x:row>
    <x:row r="155">
      <x:c r="A155" s="22" t="n"/>
      <x:c r="B155" s="22" t="n"/>
      <x:c r="C155" s="22" t="n"/>
      <x:c r="D155" s="22" t="n"/>
      <x:c r="E155" s="22" t="n"/>
      <x:c r="F155" s="23" t="n"/>
      <x:c r="G155" s="23" t="n"/>
      <x:c r="H155" s="24">
        <x:f>IF(OR(ISBLANK(F155),ISBLANK(G155)),"",G155-F155)</x:f>
      </x:c>
      <x:c r="I155" s="25" t="n"/>
      <x:c r="J155" s="25" t="n"/>
      <x:c r="K155" s="25" t="n"/>
      <x:c r="L155" s="22" t="n"/>
      <x:c r="M155" s="22" t="n"/>
      <x:c r="N155" s="22" t="n"/>
      <x:c r="O155" s="22" t="n"/>
      <x:c r="P155" s="25" t="n"/>
      <x:c r="Q155" s="25" t="n"/>
      <x:c r="R155" s="25" t="n"/>
      <x:c r="S155" s="22" t="n"/>
      <x:c r="T155" s="23" t="n"/>
      <x:c r="U155" s="25" t="n"/>
      <x:c r="V155" s="25" t="n"/>
      <x:c r="W155" s="25">
        <x:f>IF(OR(AND(OR(O155="DELIVERED",O155="PARTIAL"),J155&lt;&gt;TRUE),AND(OR(E155="CASH",E155="DAY CHEQUE",E155="POST DATED CHQ"),I155&lt;&gt;TRUE),AND(OR(E155="CASH",E155="DAY CHEQUE",E155="POST DATED CHQ"),K155&lt;&gt;TRUE),AND(E155="POST DATED CHQ",ISBLANK(M155)),P155=TRUE,Q155=TRUE,AND(R155=TRUE,OR(ISBLANK(S155),ISBLANK(T155))),AND(E155="ONLINE",V155&lt;&gt;TRUE),AND(I155=TRUE,U155&lt;&gt;TRUE)),TRUE,FALSE)</x:f>
      </x:c>
      <x:c r="X155" s="22" t="n"/>
    </x:row>
    <x:row r="156">
      <x:c r="A156" s="22" t="n"/>
      <x:c r="B156" s="22" t="n"/>
      <x:c r="C156" s="22" t="n"/>
      <x:c r="D156" s="22" t="n"/>
      <x:c r="E156" s="22" t="n"/>
      <x:c r="F156" s="23" t="n"/>
      <x:c r="G156" s="23" t="n"/>
      <x:c r="H156" s="24">
        <x:f>IF(OR(ISBLANK(F156),ISBLANK(G156)),"",G156-F156)</x:f>
      </x:c>
      <x:c r="I156" s="25" t="n"/>
      <x:c r="J156" s="25" t="n"/>
      <x:c r="K156" s="25" t="n"/>
      <x:c r="L156" s="22" t="n"/>
      <x:c r="M156" s="22" t="n"/>
      <x:c r="N156" s="22" t="n"/>
      <x:c r="O156" s="22" t="n"/>
      <x:c r="P156" s="25" t="n"/>
      <x:c r="Q156" s="25" t="n"/>
      <x:c r="R156" s="25" t="n"/>
      <x:c r="S156" s="22" t="n"/>
      <x:c r="T156" s="23" t="n"/>
      <x:c r="U156" s="25" t="n"/>
      <x:c r="V156" s="25" t="n"/>
      <x:c r="W156" s="25">
        <x:f>IF(OR(AND(OR(O156="DELIVERED",O156="PARTIAL"),J156&lt;&gt;TRUE),AND(OR(E156="CASH",E156="DAY CHEQUE",E156="POST DATED CHQ"),I156&lt;&gt;TRUE),AND(OR(E156="CASH",E156="DAY CHEQUE",E156="POST DATED CHQ"),K156&lt;&gt;TRUE),AND(E156="POST DATED CHQ",ISBLANK(M156)),P156=TRUE,Q156=TRUE,AND(R156=TRUE,OR(ISBLANK(S156),ISBLANK(T156))),AND(E156="ONLINE",V156&lt;&gt;TRUE),AND(I156=TRUE,U156&lt;&gt;TRUE)),TRUE,FALSE)</x:f>
      </x:c>
      <x:c r="X156" s="22" t="n"/>
    </x:row>
    <x:row r="157">
      <x:c r="A157" s="22" t="n"/>
      <x:c r="B157" s="22" t="n"/>
      <x:c r="C157" s="22" t="n"/>
      <x:c r="D157" s="22" t="n"/>
      <x:c r="E157" s="22" t="n"/>
      <x:c r="F157" s="23" t="n"/>
      <x:c r="G157" s="23" t="n"/>
      <x:c r="H157" s="24">
        <x:f>IF(OR(ISBLANK(F157),ISBLANK(G157)),"",G157-F157)</x:f>
      </x:c>
      <x:c r="I157" s="25" t="n"/>
      <x:c r="J157" s="25" t="n"/>
      <x:c r="K157" s="25" t="n"/>
      <x:c r="L157" s="22" t="n"/>
      <x:c r="M157" s="22" t="n"/>
      <x:c r="N157" s="22" t="n"/>
      <x:c r="O157" s="22" t="n"/>
      <x:c r="P157" s="25" t="n"/>
      <x:c r="Q157" s="25" t="n"/>
      <x:c r="R157" s="25" t="n"/>
      <x:c r="S157" s="22" t="n"/>
      <x:c r="T157" s="23" t="n"/>
      <x:c r="U157" s="25" t="n"/>
      <x:c r="V157" s="25" t="n"/>
      <x:c r="W157" s="25">
        <x:f>IF(OR(AND(OR(O157="DELIVERED",O157="PARTIAL"),J157&lt;&gt;TRUE),AND(OR(E157="CASH",E157="DAY CHEQUE",E157="POST DATED CHQ"),I157&lt;&gt;TRUE),AND(OR(E157="CASH",E157="DAY CHEQUE",E157="POST DATED CHQ"),K157&lt;&gt;TRUE),AND(E157="POST DATED CHQ",ISBLANK(M157)),P157=TRUE,Q157=TRUE,AND(R157=TRUE,OR(ISBLANK(S157),ISBLANK(T157))),AND(E157="ONLINE",V157&lt;&gt;TRUE),AND(I157=TRUE,U157&lt;&gt;TRUE)),TRUE,FALSE)</x:f>
      </x:c>
      <x:c r="X157" s="22" t="n"/>
    </x:row>
    <x:row r="158">
      <x:c r="A158" s="22" t="n"/>
      <x:c r="B158" s="22" t="n"/>
      <x:c r="C158" s="22" t="n"/>
      <x:c r="D158" s="22" t="n"/>
      <x:c r="E158" s="22" t="n"/>
      <x:c r="F158" s="23" t="n"/>
      <x:c r="G158" s="23" t="n"/>
      <x:c r="H158" s="24">
        <x:f>IF(OR(ISBLANK(F158),ISBLANK(G158)),"",G158-F158)</x:f>
      </x:c>
      <x:c r="I158" s="25" t="n"/>
      <x:c r="J158" s="25" t="n"/>
      <x:c r="K158" s="25" t="n"/>
      <x:c r="L158" s="22" t="n"/>
      <x:c r="M158" s="22" t="n"/>
      <x:c r="N158" s="22" t="n"/>
      <x:c r="O158" s="22" t="n"/>
      <x:c r="P158" s="25" t="n"/>
      <x:c r="Q158" s="25" t="n"/>
      <x:c r="R158" s="25" t="n"/>
      <x:c r="S158" s="22" t="n"/>
      <x:c r="T158" s="23" t="n"/>
      <x:c r="U158" s="25" t="n"/>
      <x:c r="V158" s="25" t="n"/>
      <x:c r="W158" s="25">
        <x:f>IF(OR(AND(OR(O158="DELIVERED",O158="PARTIAL"),J158&lt;&gt;TRUE),AND(OR(E158="CASH",E158="DAY CHEQUE",E158="POST DATED CHQ"),I158&lt;&gt;TRUE),AND(OR(E158="CASH",E158="DAY CHEQUE",E158="POST DATED CHQ"),K158&lt;&gt;TRUE),AND(E158="POST DATED CHQ",ISBLANK(M158)),P158=TRUE,Q158=TRUE,AND(R158=TRUE,OR(ISBLANK(S158),ISBLANK(T158))),AND(E158="ONLINE",V158&lt;&gt;TRUE),AND(I158=TRUE,U158&lt;&gt;TRUE)),TRUE,FALSE)</x:f>
      </x:c>
      <x:c r="X158" s="22" t="n"/>
    </x:row>
    <x:row r="159">
      <x:c r="A159" s="22" t="n"/>
      <x:c r="B159" s="22" t="n"/>
      <x:c r="C159" s="22" t="n"/>
      <x:c r="D159" s="22" t="n"/>
      <x:c r="E159" s="22" t="n"/>
      <x:c r="F159" s="23" t="n"/>
      <x:c r="G159" s="23" t="n"/>
      <x:c r="H159" s="24">
        <x:f>IF(OR(ISBLANK(F159),ISBLANK(G159)),"",G159-F159)</x:f>
      </x:c>
      <x:c r="I159" s="25" t="n"/>
      <x:c r="J159" s="25" t="n"/>
      <x:c r="K159" s="25" t="n"/>
      <x:c r="L159" s="22" t="n"/>
      <x:c r="M159" s="22" t="n"/>
      <x:c r="N159" s="22" t="n"/>
      <x:c r="O159" s="22" t="n"/>
      <x:c r="P159" s="25" t="n"/>
      <x:c r="Q159" s="25" t="n"/>
      <x:c r="R159" s="25" t="n"/>
      <x:c r="S159" s="22" t="n"/>
      <x:c r="T159" s="23" t="n"/>
      <x:c r="U159" s="25" t="n"/>
      <x:c r="V159" s="25" t="n"/>
      <x:c r="W159" s="25">
        <x:f>IF(OR(AND(OR(O159="DELIVERED",O159="PARTIAL"),J159&lt;&gt;TRUE),AND(OR(E159="CASH",E159="DAY CHEQUE",E159="POST DATED CHQ"),I159&lt;&gt;TRUE),AND(OR(E159="CASH",E159="DAY CHEQUE",E159="POST DATED CHQ"),K159&lt;&gt;TRUE),AND(E159="POST DATED CHQ",ISBLANK(M159)),P159=TRUE,Q159=TRUE,AND(R159=TRUE,OR(ISBLANK(S159),ISBLANK(T159))),AND(E159="ONLINE",V159&lt;&gt;TRUE),AND(I159=TRUE,U159&lt;&gt;TRUE)),TRUE,FALSE)</x:f>
      </x:c>
      <x:c r="X159" s="22" t="n"/>
    </x:row>
    <x:row r="160">
      <x:c r="A160" s="22" t="n"/>
      <x:c r="B160" s="22" t="n"/>
      <x:c r="C160" s="22" t="n"/>
      <x:c r="D160" s="22" t="n"/>
      <x:c r="E160" s="22" t="n"/>
      <x:c r="F160" s="23" t="n"/>
      <x:c r="G160" s="23" t="n"/>
      <x:c r="H160" s="24">
        <x:f>IF(OR(ISBLANK(F160),ISBLANK(G160)),"",G160-F160)</x:f>
      </x:c>
      <x:c r="I160" s="25" t="n"/>
      <x:c r="J160" s="25" t="n"/>
      <x:c r="K160" s="25" t="n"/>
      <x:c r="L160" s="22" t="n"/>
      <x:c r="M160" s="22" t="n"/>
      <x:c r="N160" s="22" t="n"/>
      <x:c r="O160" s="22" t="n"/>
      <x:c r="P160" s="25" t="n"/>
      <x:c r="Q160" s="25" t="n"/>
      <x:c r="R160" s="25" t="n"/>
      <x:c r="S160" s="22" t="n"/>
      <x:c r="T160" s="23" t="n"/>
      <x:c r="U160" s="25" t="n"/>
      <x:c r="V160" s="25" t="n"/>
      <x:c r="W160" s="25">
        <x:f>IF(OR(AND(OR(O160="DELIVERED",O160="PARTIAL"),J160&lt;&gt;TRUE),AND(OR(E160="CASH",E160="DAY CHEQUE",E160="POST DATED CHQ"),I160&lt;&gt;TRUE),AND(OR(E160="CASH",E160="DAY CHEQUE",E160="POST DATED CHQ"),K160&lt;&gt;TRUE),AND(E160="POST DATED CHQ",ISBLANK(M160)),P160=TRUE,Q160=TRUE,AND(R160=TRUE,OR(ISBLANK(S160),ISBLANK(T160))),AND(E160="ONLINE",V160&lt;&gt;TRUE),AND(I160=TRUE,U160&lt;&gt;TRUE)),TRUE,FALSE)</x:f>
      </x:c>
      <x:c r="X160" s="22" t="n"/>
    </x:row>
    <x:row r="161">
      <x:c r="A161" s="22" t="n"/>
      <x:c r="B161" s="22" t="n"/>
      <x:c r="C161" s="22" t="n"/>
      <x:c r="D161" s="22" t="n"/>
      <x:c r="E161" s="22" t="n"/>
      <x:c r="F161" s="23" t="n"/>
      <x:c r="G161" s="23" t="n"/>
      <x:c r="H161" s="24">
        <x:f>IF(OR(ISBLANK(F161),ISBLANK(G161)),"",G161-F161)</x:f>
      </x:c>
      <x:c r="I161" s="25" t="n"/>
      <x:c r="J161" s="25" t="n"/>
      <x:c r="K161" s="25" t="n"/>
      <x:c r="L161" s="22" t="n"/>
      <x:c r="M161" s="22" t="n"/>
      <x:c r="N161" s="22" t="n"/>
      <x:c r="O161" s="22" t="n"/>
      <x:c r="P161" s="25" t="n"/>
      <x:c r="Q161" s="25" t="n"/>
      <x:c r="R161" s="25" t="n"/>
      <x:c r="S161" s="22" t="n"/>
      <x:c r="T161" s="23" t="n"/>
      <x:c r="U161" s="25" t="n"/>
      <x:c r="V161" s="25" t="n"/>
      <x:c r="W161" s="25">
        <x:f>IF(OR(AND(OR(O161="DELIVERED",O161="PARTIAL"),J161&lt;&gt;TRUE),AND(OR(E161="CASH",E161="DAY CHEQUE",E161="POST DATED CHQ"),I161&lt;&gt;TRUE),AND(OR(E161="CASH",E161="DAY CHEQUE",E161="POST DATED CHQ"),K161&lt;&gt;TRUE),AND(E161="POST DATED CHQ",ISBLANK(M161)),P161=TRUE,Q161=TRUE,AND(R161=TRUE,OR(ISBLANK(S161),ISBLANK(T161))),AND(E161="ONLINE",V161&lt;&gt;TRUE),AND(I161=TRUE,U161&lt;&gt;TRUE)),TRUE,FALSE)</x:f>
      </x:c>
      <x:c r="X161" s="22" t="n"/>
    </x:row>
    <x:row r="162">
      <x:c r="A162" s="22" t="n"/>
      <x:c r="B162" s="22" t="n"/>
      <x:c r="C162" s="22" t="n"/>
      <x:c r="D162" s="22" t="n"/>
      <x:c r="E162" s="22" t="n"/>
      <x:c r="F162" s="23" t="n"/>
      <x:c r="G162" s="23" t="n"/>
      <x:c r="H162" s="24">
        <x:f>IF(OR(ISBLANK(F162),ISBLANK(G162)),"",G162-F162)</x:f>
      </x:c>
      <x:c r="I162" s="25" t="n"/>
      <x:c r="J162" s="25" t="n"/>
      <x:c r="K162" s="25" t="n"/>
      <x:c r="L162" s="22" t="n"/>
      <x:c r="M162" s="22" t="n"/>
      <x:c r="N162" s="22" t="n"/>
      <x:c r="O162" s="22" t="n"/>
      <x:c r="P162" s="25" t="n"/>
      <x:c r="Q162" s="25" t="n"/>
      <x:c r="R162" s="25" t="n"/>
      <x:c r="S162" s="22" t="n"/>
      <x:c r="T162" s="23" t="n"/>
      <x:c r="U162" s="25" t="n"/>
      <x:c r="V162" s="25" t="n"/>
      <x:c r="W162" s="25">
        <x:f>IF(OR(AND(OR(O162="DELIVERED",O162="PARTIAL"),J162&lt;&gt;TRUE),AND(OR(E162="CASH",E162="DAY CHEQUE",E162="POST DATED CHQ"),I162&lt;&gt;TRUE),AND(OR(E162="CASH",E162="DAY CHEQUE",E162="POST DATED CHQ"),K162&lt;&gt;TRUE),AND(E162="POST DATED CHQ",ISBLANK(M162)),P162=TRUE,Q162=TRUE,AND(R162=TRUE,OR(ISBLANK(S162),ISBLANK(T162))),AND(E162="ONLINE",V162&lt;&gt;TRUE),AND(I162=TRUE,U162&lt;&gt;TRUE)),TRUE,FALSE)</x:f>
      </x:c>
      <x:c r="X162" s="22" t="n"/>
    </x:row>
    <x:row r="163">
      <x:c r="A163" s="22" t="n"/>
      <x:c r="B163" s="22" t="n"/>
      <x:c r="C163" s="22" t="n"/>
      <x:c r="D163" s="22" t="n"/>
      <x:c r="E163" s="22" t="n"/>
      <x:c r="F163" s="23" t="n"/>
      <x:c r="G163" s="23" t="n"/>
      <x:c r="H163" s="24">
        <x:f>IF(OR(ISBLANK(F163),ISBLANK(G163)),"",G163-F163)</x:f>
      </x:c>
      <x:c r="I163" s="25" t="n"/>
      <x:c r="J163" s="25" t="n"/>
      <x:c r="K163" s="25" t="n"/>
      <x:c r="L163" s="22" t="n"/>
      <x:c r="M163" s="22" t="n"/>
      <x:c r="N163" s="22" t="n"/>
      <x:c r="O163" s="22" t="n"/>
      <x:c r="P163" s="25" t="n"/>
      <x:c r="Q163" s="25" t="n"/>
      <x:c r="R163" s="25" t="n"/>
      <x:c r="S163" s="22" t="n"/>
      <x:c r="T163" s="23" t="n"/>
      <x:c r="U163" s="25" t="n"/>
      <x:c r="V163" s="25" t="n"/>
      <x:c r="W163" s="25">
        <x:f>IF(OR(AND(OR(O163="DELIVERED",O163="PARTIAL"),J163&lt;&gt;TRUE),AND(OR(E163="CASH",E163="DAY CHEQUE",E163="POST DATED CHQ"),I163&lt;&gt;TRUE),AND(OR(E163="CASH",E163="DAY CHEQUE",E163="POST DATED CHQ"),K163&lt;&gt;TRUE),AND(E163="POST DATED CHQ",ISBLANK(M163)),P163=TRUE,Q163=TRUE,AND(R163=TRUE,OR(ISBLANK(S163),ISBLANK(T163))),AND(E163="ONLINE",V163&lt;&gt;TRUE),AND(I163=TRUE,U163&lt;&gt;TRUE)),TRUE,FALSE)</x:f>
      </x:c>
      <x:c r="X163" s="22" t="n"/>
    </x:row>
    <x:row r="164">
      <x:c r="A164" s="22" t="n"/>
      <x:c r="B164" s="22" t="n"/>
      <x:c r="C164" s="22" t="n"/>
      <x:c r="D164" s="22" t="n"/>
      <x:c r="E164" s="22" t="n"/>
      <x:c r="F164" s="23" t="n"/>
      <x:c r="G164" s="23" t="n"/>
      <x:c r="H164" s="24">
        <x:f>IF(OR(ISBLANK(F164),ISBLANK(G164)),"",G164-F164)</x:f>
      </x:c>
      <x:c r="I164" s="25" t="n"/>
      <x:c r="J164" s="25" t="n"/>
      <x:c r="K164" s="25" t="n"/>
      <x:c r="L164" s="22" t="n"/>
      <x:c r="M164" s="22" t="n"/>
      <x:c r="N164" s="22" t="n"/>
      <x:c r="O164" s="22" t="n"/>
      <x:c r="P164" s="25" t="n"/>
      <x:c r="Q164" s="25" t="n"/>
      <x:c r="R164" s="25" t="n"/>
      <x:c r="S164" s="22" t="n"/>
      <x:c r="T164" s="23" t="n"/>
      <x:c r="U164" s="25" t="n"/>
      <x:c r="V164" s="25" t="n"/>
      <x:c r="W164" s="25">
        <x:f>IF(OR(AND(OR(O164="DELIVERED",O164="PARTIAL"),J164&lt;&gt;TRUE),AND(OR(E164="CASH",E164="DAY CHEQUE",E164="POST DATED CHQ"),I164&lt;&gt;TRUE),AND(OR(E164="CASH",E164="DAY CHEQUE",E164="POST DATED CHQ"),K164&lt;&gt;TRUE),AND(E164="POST DATED CHQ",ISBLANK(M164)),P164=TRUE,Q164=TRUE,AND(R164=TRUE,OR(ISBLANK(S164),ISBLANK(T164))),AND(E164="ONLINE",V164&lt;&gt;TRUE),AND(I164=TRUE,U164&lt;&gt;TRUE)),TRUE,FALSE)</x:f>
      </x:c>
      <x:c r="X164" s="22" t="n"/>
    </x:row>
    <x:row r="165">
      <x:c r="A165" s="22" t="n"/>
      <x:c r="B165" s="22" t="n"/>
      <x:c r="C165" s="22" t="n"/>
      <x:c r="D165" s="22" t="n"/>
      <x:c r="E165" s="22" t="n"/>
      <x:c r="F165" s="23" t="n"/>
      <x:c r="G165" s="23" t="n"/>
      <x:c r="H165" s="24">
        <x:f>IF(OR(ISBLANK(F165),ISBLANK(G165)),"",G165-F165)</x:f>
      </x:c>
      <x:c r="I165" s="25" t="n"/>
      <x:c r="J165" s="25" t="n"/>
      <x:c r="K165" s="25" t="n"/>
      <x:c r="L165" s="22" t="n"/>
      <x:c r="M165" s="22" t="n"/>
      <x:c r="N165" s="22" t="n"/>
      <x:c r="O165" s="22" t="n"/>
      <x:c r="P165" s="25" t="n"/>
      <x:c r="Q165" s="25" t="n"/>
      <x:c r="R165" s="25" t="n"/>
      <x:c r="S165" s="22" t="n"/>
      <x:c r="T165" s="23" t="n"/>
      <x:c r="U165" s="25" t="n"/>
      <x:c r="V165" s="25" t="n"/>
      <x:c r="W165" s="25">
        <x:f>IF(OR(AND(OR(O165="DELIVERED",O165="PARTIAL"),J165&lt;&gt;TRUE),AND(OR(E165="CASH",E165="DAY CHEQUE",E165="POST DATED CHQ"),I165&lt;&gt;TRUE),AND(OR(E165="CASH",E165="DAY CHEQUE",E165="POST DATED CHQ"),K165&lt;&gt;TRUE),AND(E165="POST DATED CHQ",ISBLANK(M165)),P165=TRUE,Q165=TRUE,AND(R165=TRUE,OR(ISBLANK(S165),ISBLANK(T165))),AND(E165="ONLINE",V165&lt;&gt;TRUE),AND(I165=TRUE,U165&lt;&gt;TRUE)),TRUE,FALSE)</x:f>
      </x:c>
      <x:c r="X165" s="22" t="n"/>
    </x:row>
    <x:row r="166">
      <x:c r="A166" s="22" t="n"/>
      <x:c r="B166" s="22" t="n"/>
      <x:c r="C166" s="22" t="n"/>
      <x:c r="D166" s="22" t="n"/>
      <x:c r="E166" s="22" t="n"/>
      <x:c r="F166" s="23" t="n"/>
      <x:c r="G166" s="23" t="n"/>
      <x:c r="H166" s="24">
        <x:f>IF(OR(ISBLANK(F166),ISBLANK(G166)),"",G166-F166)</x:f>
      </x:c>
      <x:c r="I166" s="25" t="n"/>
      <x:c r="J166" s="25" t="n"/>
      <x:c r="K166" s="25" t="n"/>
      <x:c r="L166" s="22" t="n"/>
      <x:c r="M166" s="22" t="n"/>
      <x:c r="N166" s="22" t="n"/>
      <x:c r="O166" s="22" t="n"/>
      <x:c r="P166" s="25" t="n"/>
      <x:c r="Q166" s="25" t="n"/>
      <x:c r="R166" s="25" t="n"/>
      <x:c r="S166" s="22" t="n"/>
      <x:c r="T166" s="23" t="n"/>
      <x:c r="U166" s="25" t="n"/>
      <x:c r="V166" s="25" t="n"/>
      <x:c r="W166" s="25">
        <x:f>IF(OR(AND(OR(O166="DELIVERED",O166="PARTIAL"),J166&lt;&gt;TRUE),AND(OR(E166="CASH",E166="DAY CHEQUE",E166="POST DATED CHQ"),I166&lt;&gt;TRUE),AND(OR(E166="CASH",E166="DAY CHEQUE",E166="POST DATED CHQ"),K166&lt;&gt;TRUE),AND(E166="POST DATED CHQ",ISBLANK(M166)),P166=TRUE,Q166=TRUE,AND(R166=TRUE,OR(ISBLANK(S166),ISBLANK(T166))),AND(E166="ONLINE",V166&lt;&gt;TRUE),AND(I166=TRUE,U166&lt;&gt;TRUE)),TRUE,FALSE)</x:f>
      </x:c>
      <x:c r="X166" s="22" t="n"/>
    </x:row>
    <x:row r="167">
      <x:c r="A167" s="22" t="n"/>
      <x:c r="B167" s="22" t="n"/>
      <x:c r="C167" s="22" t="n"/>
      <x:c r="D167" s="22" t="n"/>
      <x:c r="E167" s="22" t="n"/>
      <x:c r="F167" s="23" t="n"/>
      <x:c r="G167" s="23" t="n"/>
      <x:c r="H167" s="24">
        <x:f>IF(OR(ISBLANK(F167),ISBLANK(G167)),"",G167-F167)</x:f>
      </x:c>
      <x:c r="I167" s="25" t="n"/>
      <x:c r="J167" s="25" t="n"/>
      <x:c r="K167" s="25" t="n"/>
      <x:c r="L167" s="22" t="n"/>
      <x:c r="M167" s="22" t="n"/>
      <x:c r="N167" s="22" t="n"/>
      <x:c r="O167" s="22" t="n"/>
      <x:c r="P167" s="25" t="n"/>
      <x:c r="Q167" s="25" t="n"/>
      <x:c r="R167" s="25" t="n"/>
      <x:c r="S167" s="22" t="n"/>
      <x:c r="T167" s="23" t="n"/>
      <x:c r="U167" s="25" t="n"/>
      <x:c r="V167" s="25" t="n"/>
      <x:c r="W167" s="25">
        <x:f>IF(OR(AND(OR(O167="DELIVERED",O167="PARTIAL"),J167&lt;&gt;TRUE),AND(OR(E167="CASH",E167="DAY CHEQUE",E167="POST DATED CHQ"),I167&lt;&gt;TRUE),AND(OR(E167="CASH",E167="DAY CHEQUE",E167="POST DATED CHQ"),K167&lt;&gt;TRUE),AND(E167="POST DATED CHQ",ISBLANK(M167)),P167=TRUE,Q167=TRUE,AND(R167=TRUE,OR(ISBLANK(S167),ISBLANK(T167))),AND(E167="ONLINE",V167&lt;&gt;TRUE),AND(I167=TRUE,U167&lt;&gt;TRUE)),TRUE,FALSE)</x:f>
      </x:c>
      <x:c r="X167" s="22" t="n"/>
    </x:row>
    <x:row r="168">
      <x:c r="A168" s="22" t="n"/>
      <x:c r="B168" s="22" t="n"/>
      <x:c r="C168" s="22" t="n"/>
      <x:c r="D168" s="22" t="n"/>
      <x:c r="E168" s="22" t="n"/>
      <x:c r="F168" s="23" t="n"/>
      <x:c r="G168" s="23" t="n"/>
      <x:c r="H168" s="24">
        <x:f>IF(OR(ISBLANK(F168),ISBLANK(G168)),"",G168-F168)</x:f>
      </x:c>
      <x:c r="I168" s="25" t="n"/>
      <x:c r="J168" s="25" t="n"/>
      <x:c r="K168" s="25" t="n"/>
      <x:c r="L168" s="22" t="n"/>
      <x:c r="M168" s="22" t="n"/>
      <x:c r="N168" s="22" t="n"/>
      <x:c r="O168" s="22" t="n"/>
      <x:c r="P168" s="25" t="n"/>
      <x:c r="Q168" s="25" t="n"/>
      <x:c r="R168" s="25" t="n"/>
      <x:c r="S168" s="22" t="n"/>
      <x:c r="T168" s="23" t="n"/>
      <x:c r="U168" s="25" t="n"/>
      <x:c r="V168" s="25" t="n"/>
      <x:c r="W168" s="25">
        <x:f>IF(OR(AND(OR(O168="DELIVERED",O168="PARTIAL"),J168&lt;&gt;TRUE),AND(OR(E168="CASH",E168="DAY CHEQUE",E168="POST DATED CHQ"),I168&lt;&gt;TRUE),AND(OR(E168="CASH",E168="DAY CHEQUE",E168="POST DATED CHQ"),K168&lt;&gt;TRUE),AND(E168="POST DATED CHQ",ISBLANK(M168)),P168=TRUE,Q168=TRUE,AND(R168=TRUE,OR(ISBLANK(S168),ISBLANK(T168))),AND(E168="ONLINE",V168&lt;&gt;TRUE),AND(I168=TRUE,U168&lt;&gt;TRUE)),TRUE,FALSE)</x:f>
      </x:c>
      <x:c r="X168" s="22" t="n"/>
    </x:row>
    <x:row r="169">
      <x:c r="A169" s="22" t="n"/>
      <x:c r="B169" s="22" t="n"/>
      <x:c r="C169" s="22" t="n"/>
      <x:c r="D169" s="22" t="n"/>
      <x:c r="E169" s="22" t="n"/>
      <x:c r="F169" s="23" t="n"/>
      <x:c r="G169" s="23" t="n"/>
      <x:c r="H169" s="24">
        <x:f>IF(OR(ISBLANK(F169),ISBLANK(G169)),"",G169-F169)</x:f>
      </x:c>
      <x:c r="I169" s="25" t="n"/>
      <x:c r="J169" s="25" t="n"/>
      <x:c r="K169" s="25" t="n"/>
      <x:c r="L169" s="22" t="n"/>
      <x:c r="M169" s="22" t="n"/>
      <x:c r="N169" s="22" t="n"/>
      <x:c r="O169" s="22" t="n"/>
      <x:c r="P169" s="25" t="n"/>
      <x:c r="Q169" s="25" t="n"/>
      <x:c r="R169" s="25" t="n"/>
      <x:c r="S169" s="22" t="n"/>
      <x:c r="T169" s="23" t="n"/>
      <x:c r="U169" s="25" t="n"/>
      <x:c r="V169" s="25" t="n"/>
      <x:c r="W169" s="25">
        <x:f>IF(OR(AND(OR(O169="DELIVERED",O169="PARTIAL"),J169&lt;&gt;TRUE),AND(OR(E169="CASH",E169="DAY CHEQUE",E169="POST DATED CHQ"),I169&lt;&gt;TRUE),AND(OR(E169="CASH",E169="DAY CHEQUE",E169="POST DATED CHQ"),K169&lt;&gt;TRUE),AND(E169="POST DATED CHQ",ISBLANK(M169)),P169=TRUE,Q169=TRUE,AND(R169=TRUE,OR(ISBLANK(S169),ISBLANK(T169))),AND(E169="ONLINE",V169&lt;&gt;TRUE),AND(I169=TRUE,U169&lt;&gt;TRUE)),TRUE,FALSE)</x:f>
      </x:c>
      <x:c r="X169" s="22" t="n"/>
    </x:row>
    <x:row r="170">
      <x:c r="A170" s="22" t="n"/>
      <x:c r="B170" s="22" t="n"/>
      <x:c r="C170" s="22" t="n"/>
      <x:c r="D170" s="22" t="n"/>
      <x:c r="E170" s="22" t="n"/>
      <x:c r="F170" s="23" t="n"/>
      <x:c r="G170" s="23" t="n"/>
      <x:c r="H170" s="24">
        <x:f>IF(OR(ISBLANK(F170),ISBLANK(G170)),"",G170-F170)</x:f>
      </x:c>
      <x:c r="I170" s="25" t="n"/>
      <x:c r="J170" s="25" t="n"/>
      <x:c r="K170" s="25" t="n"/>
      <x:c r="L170" s="22" t="n"/>
      <x:c r="M170" s="22" t="n"/>
      <x:c r="N170" s="22" t="n"/>
      <x:c r="O170" s="22" t="n"/>
      <x:c r="P170" s="25" t="n"/>
      <x:c r="Q170" s="25" t="n"/>
      <x:c r="R170" s="25" t="n"/>
      <x:c r="S170" s="22" t="n"/>
      <x:c r="T170" s="23" t="n"/>
      <x:c r="U170" s="25" t="n"/>
      <x:c r="V170" s="25" t="n"/>
      <x:c r="W170" s="25">
        <x:f>IF(OR(AND(OR(O170="DELIVERED",O170="PARTIAL"),J170&lt;&gt;TRUE),AND(OR(E170="CASH",E170="DAY CHEQUE",E170="POST DATED CHQ"),I170&lt;&gt;TRUE),AND(OR(E170="CASH",E170="DAY CHEQUE",E170="POST DATED CHQ"),K170&lt;&gt;TRUE),AND(E170="POST DATED CHQ",ISBLANK(M170)),P170=TRUE,Q170=TRUE,AND(R170=TRUE,OR(ISBLANK(S170),ISBLANK(T170))),AND(E170="ONLINE",V170&lt;&gt;TRUE),AND(I170=TRUE,U170&lt;&gt;TRUE)),TRUE,FALSE)</x:f>
      </x:c>
      <x:c r="X170" s="22" t="n"/>
    </x:row>
    <x:row r="171">
      <x:c r="A171" s="22" t="n"/>
      <x:c r="B171" s="22" t="n"/>
      <x:c r="C171" s="22" t="n"/>
      <x:c r="D171" s="22" t="n"/>
      <x:c r="E171" s="22" t="n"/>
      <x:c r="F171" s="23" t="n"/>
      <x:c r="G171" s="23" t="n"/>
      <x:c r="H171" s="24">
        <x:f>IF(OR(ISBLANK(F171),ISBLANK(G171)),"",G171-F171)</x:f>
      </x:c>
      <x:c r="I171" s="25" t="n"/>
      <x:c r="J171" s="25" t="n"/>
      <x:c r="K171" s="25" t="n"/>
      <x:c r="L171" s="22" t="n"/>
      <x:c r="M171" s="22" t="n"/>
      <x:c r="N171" s="22" t="n"/>
      <x:c r="O171" s="22" t="n"/>
      <x:c r="P171" s="25" t="n"/>
      <x:c r="Q171" s="25" t="n"/>
      <x:c r="R171" s="25" t="n"/>
      <x:c r="S171" s="22" t="n"/>
      <x:c r="T171" s="23" t="n"/>
      <x:c r="U171" s="25" t="n"/>
      <x:c r="V171" s="25" t="n"/>
      <x:c r="W171" s="25">
        <x:f>IF(OR(AND(OR(O171="DELIVERED",O171="PARTIAL"),J171&lt;&gt;TRUE),AND(OR(E171="CASH",E171="DAY CHEQUE",E171="POST DATED CHQ"),I171&lt;&gt;TRUE),AND(OR(E171="CASH",E171="DAY CHEQUE",E171="POST DATED CHQ"),K171&lt;&gt;TRUE),AND(E171="POST DATED CHQ",ISBLANK(M171)),P171=TRUE,Q171=TRUE,AND(R171=TRUE,OR(ISBLANK(S171),ISBLANK(T171))),AND(E171="ONLINE",V171&lt;&gt;TRUE),AND(I171=TRUE,U171&lt;&gt;TRUE)),TRUE,FALSE)</x:f>
      </x:c>
      <x:c r="X171" s="22" t="n"/>
    </x:row>
    <x:row r="172">
      <x:c r="A172" s="22" t="n"/>
      <x:c r="B172" s="22" t="n"/>
      <x:c r="C172" s="22" t="n"/>
      <x:c r="D172" s="22" t="n"/>
      <x:c r="E172" s="22" t="n"/>
      <x:c r="F172" s="23" t="n"/>
      <x:c r="G172" s="23" t="n"/>
      <x:c r="H172" s="24">
        <x:f>IF(OR(ISBLANK(F172),ISBLANK(G172)),"",G172-F172)</x:f>
      </x:c>
      <x:c r="I172" s="25" t="n"/>
      <x:c r="J172" s="25" t="n"/>
      <x:c r="K172" s="25" t="n"/>
      <x:c r="L172" s="22" t="n"/>
      <x:c r="M172" s="22" t="n"/>
      <x:c r="N172" s="22" t="n"/>
      <x:c r="O172" s="22" t="n"/>
      <x:c r="P172" s="25" t="n"/>
      <x:c r="Q172" s="25" t="n"/>
      <x:c r="R172" s="25" t="n"/>
      <x:c r="S172" s="22" t="n"/>
      <x:c r="T172" s="23" t="n"/>
      <x:c r="U172" s="25" t="n"/>
      <x:c r="V172" s="25" t="n"/>
      <x:c r="W172" s="25">
        <x:f>IF(OR(AND(OR(O172="DELIVERED",O172="PARTIAL"),J172&lt;&gt;TRUE),AND(OR(E172="CASH",E172="DAY CHEQUE",E172="POST DATED CHQ"),I172&lt;&gt;TRUE),AND(OR(E172="CASH",E172="DAY CHEQUE",E172="POST DATED CHQ"),K172&lt;&gt;TRUE),AND(E172="POST DATED CHQ",ISBLANK(M172)),P172=TRUE,Q172=TRUE,AND(R172=TRUE,OR(ISBLANK(S172),ISBLANK(T172))),AND(E172="ONLINE",V172&lt;&gt;TRUE),AND(I172=TRUE,U172&lt;&gt;TRUE)),TRUE,FALSE)</x:f>
      </x:c>
      <x:c r="X172" s="22" t="n"/>
    </x:row>
    <x:row r="173">
      <x:c r="A173" s="22" t="n"/>
      <x:c r="B173" s="22" t="n"/>
      <x:c r="C173" s="22" t="n"/>
      <x:c r="D173" s="22" t="n"/>
      <x:c r="E173" s="22" t="n"/>
      <x:c r="F173" s="23" t="n"/>
      <x:c r="G173" s="23" t="n"/>
      <x:c r="H173" s="24">
        <x:f>IF(OR(ISBLANK(F173),ISBLANK(G173)),"",G173-F173)</x:f>
      </x:c>
      <x:c r="I173" s="25" t="n"/>
      <x:c r="J173" s="25" t="n"/>
      <x:c r="K173" s="25" t="n"/>
      <x:c r="L173" s="22" t="n"/>
      <x:c r="M173" s="22" t="n"/>
      <x:c r="N173" s="22" t="n"/>
      <x:c r="O173" s="22" t="n"/>
      <x:c r="P173" s="25" t="n"/>
      <x:c r="Q173" s="25" t="n"/>
      <x:c r="R173" s="25" t="n"/>
      <x:c r="S173" s="22" t="n"/>
      <x:c r="T173" s="23" t="n"/>
      <x:c r="U173" s="25" t="n"/>
      <x:c r="V173" s="25" t="n"/>
      <x:c r="W173" s="25">
        <x:f>IF(OR(AND(OR(O173="DELIVERED",O173="PARTIAL"),J173&lt;&gt;TRUE),AND(OR(E173="CASH",E173="DAY CHEQUE",E173="POST DATED CHQ"),I173&lt;&gt;TRUE),AND(OR(E173="CASH",E173="DAY CHEQUE",E173="POST DATED CHQ"),K173&lt;&gt;TRUE),AND(E173="POST DATED CHQ",ISBLANK(M173)),P173=TRUE,Q173=TRUE,AND(R173=TRUE,OR(ISBLANK(S173),ISBLANK(T173))),AND(E173="ONLINE",V173&lt;&gt;TRUE),AND(I173=TRUE,U173&lt;&gt;TRUE)),TRUE,FALSE)</x:f>
      </x:c>
      <x:c r="X173" s="22" t="n"/>
    </x:row>
    <x:row r="174">
      <x:c r="A174" s="22" t="n"/>
      <x:c r="B174" s="22" t="n"/>
      <x:c r="C174" s="22" t="n"/>
      <x:c r="D174" s="22" t="n"/>
      <x:c r="E174" s="22" t="n"/>
      <x:c r="F174" s="23" t="n"/>
      <x:c r="G174" s="23" t="n"/>
      <x:c r="H174" s="24">
        <x:f>IF(OR(ISBLANK(F174),ISBLANK(G174)),"",G174-F174)</x:f>
      </x:c>
      <x:c r="I174" s="25" t="n"/>
      <x:c r="J174" s="25" t="n"/>
      <x:c r="K174" s="25" t="n"/>
      <x:c r="L174" s="22" t="n"/>
      <x:c r="M174" s="22" t="n"/>
      <x:c r="N174" s="22" t="n"/>
      <x:c r="O174" s="22" t="n"/>
      <x:c r="P174" s="25" t="n"/>
      <x:c r="Q174" s="25" t="n"/>
      <x:c r="R174" s="25" t="n"/>
      <x:c r="S174" s="22" t="n"/>
      <x:c r="T174" s="23" t="n"/>
      <x:c r="U174" s="25" t="n"/>
      <x:c r="V174" s="25" t="n"/>
      <x:c r="W174" s="25">
        <x:f>IF(OR(AND(OR(O174="DELIVERED",O174="PARTIAL"),J174&lt;&gt;TRUE),AND(OR(E174="CASH",E174="DAY CHEQUE",E174="POST DATED CHQ"),I174&lt;&gt;TRUE),AND(OR(E174="CASH",E174="DAY CHEQUE",E174="POST DATED CHQ"),K174&lt;&gt;TRUE),AND(E174="POST DATED CHQ",ISBLANK(M174)),P174=TRUE,Q174=TRUE,AND(R174=TRUE,OR(ISBLANK(S174),ISBLANK(T174))),AND(E174="ONLINE",V174&lt;&gt;TRUE),AND(I174=TRUE,U174&lt;&gt;TRUE)),TRUE,FALSE)</x:f>
      </x:c>
      <x:c r="X174" s="22" t="n"/>
    </x:row>
    <x:row r="175">
      <x:c r="A175" s="22" t="n"/>
      <x:c r="B175" s="22" t="n"/>
      <x:c r="C175" s="22" t="n"/>
      <x:c r="D175" s="22" t="n"/>
      <x:c r="E175" s="22" t="n"/>
      <x:c r="F175" s="23" t="n"/>
      <x:c r="G175" s="23" t="n"/>
      <x:c r="H175" s="24">
        <x:f>IF(OR(ISBLANK(F175),ISBLANK(G175)),"",G175-F175)</x:f>
      </x:c>
      <x:c r="I175" s="25" t="n"/>
      <x:c r="J175" s="25" t="n"/>
      <x:c r="K175" s="25" t="n"/>
      <x:c r="L175" s="22" t="n"/>
      <x:c r="M175" s="22" t="n"/>
      <x:c r="N175" s="22" t="n"/>
      <x:c r="O175" s="22" t="n"/>
      <x:c r="P175" s="25" t="n"/>
      <x:c r="Q175" s="25" t="n"/>
      <x:c r="R175" s="25" t="n"/>
      <x:c r="S175" s="22" t="n"/>
      <x:c r="T175" s="23" t="n"/>
      <x:c r="U175" s="25" t="n"/>
      <x:c r="V175" s="25" t="n"/>
      <x:c r="W175" s="25">
        <x:f>IF(OR(AND(OR(O175="DELIVERED",O175="PARTIAL"),J175&lt;&gt;TRUE),AND(OR(E175="CASH",E175="DAY CHEQUE",E175="POST DATED CHQ"),I175&lt;&gt;TRUE),AND(OR(E175="CASH",E175="DAY CHEQUE",E175="POST DATED CHQ"),K175&lt;&gt;TRUE),AND(E175="POST DATED CHQ",ISBLANK(M175)),P175=TRUE,Q175=TRUE,AND(R175=TRUE,OR(ISBLANK(S175),ISBLANK(T175))),AND(E175="ONLINE",V175&lt;&gt;TRUE),AND(I175=TRUE,U175&lt;&gt;TRUE)),TRUE,FALSE)</x:f>
      </x:c>
      <x:c r="X175" s="22" t="n"/>
    </x:row>
    <x:row r="176">
      <x:c r="A176" s="22" t="n"/>
      <x:c r="B176" s="22" t="n"/>
      <x:c r="C176" s="22" t="n"/>
      <x:c r="D176" s="22" t="n"/>
      <x:c r="E176" s="22" t="n"/>
      <x:c r="F176" s="23" t="n"/>
      <x:c r="G176" s="23" t="n"/>
      <x:c r="H176" s="24">
        <x:f>IF(OR(ISBLANK(F176),ISBLANK(G176)),"",G176-F176)</x:f>
      </x:c>
      <x:c r="I176" s="25" t="n"/>
      <x:c r="J176" s="25" t="n"/>
      <x:c r="K176" s="25" t="n"/>
      <x:c r="L176" s="22" t="n"/>
      <x:c r="M176" s="22" t="n"/>
      <x:c r="N176" s="22" t="n"/>
      <x:c r="O176" s="22" t="n"/>
      <x:c r="P176" s="25" t="n"/>
      <x:c r="Q176" s="25" t="n"/>
      <x:c r="R176" s="25" t="n"/>
      <x:c r="S176" s="22" t="n"/>
      <x:c r="T176" s="23" t="n"/>
      <x:c r="U176" s="25" t="n"/>
      <x:c r="V176" s="25" t="n"/>
      <x:c r="W176" s="25">
        <x:f>IF(OR(AND(OR(O176="DELIVERED",O176="PARTIAL"),J176&lt;&gt;TRUE),AND(OR(E176="CASH",E176="DAY CHEQUE",E176="POST DATED CHQ"),I176&lt;&gt;TRUE),AND(OR(E176="CASH",E176="DAY CHEQUE",E176="POST DATED CHQ"),K176&lt;&gt;TRUE),AND(E176="POST DATED CHQ",ISBLANK(M176)),P176=TRUE,Q176=TRUE,AND(R176=TRUE,OR(ISBLANK(S176),ISBLANK(T176))),AND(E176="ONLINE",V176&lt;&gt;TRUE),AND(I176=TRUE,U176&lt;&gt;TRUE)),TRUE,FALSE)</x:f>
      </x:c>
      <x:c r="X176" s="22" t="n"/>
    </x:row>
    <x:row r="177">
      <x:c r="A177" s="22" t="n"/>
      <x:c r="B177" s="22" t="n"/>
      <x:c r="C177" s="22" t="n"/>
      <x:c r="D177" s="22" t="n"/>
      <x:c r="E177" s="22" t="n"/>
      <x:c r="F177" s="23" t="n"/>
      <x:c r="G177" s="23" t="n"/>
      <x:c r="H177" s="24">
        <x:f>IF(OR(ISBLANK(F177),ISBLANK(G177)),"",G177-F177)</x:f>
      </x:c>
      <x:c r="I177" s="25" t="n"/>
      <x:c r="J177" s="25" t="n"/>
      <x:c r="K177" s="25" t="n"/>
      <x:c r="L177" s="22" t="n"/>
      <x:c r="M177" s="22" t="n"/>
      <x:c r="N177" s="22" t="n"/>
      <x:c r="O177" s="22" t="n"/>
      <x:c r="P177" s="25" t="n"/>
      <x:c r="Q177" s="25" t="n"/>
      <x:c r="R177" s="25" t="n"/>
      <x:c r="S177" s="22" t="n"/>
      <x:c r="T177" s="23" t="n"/>
      <x:c r="U177" s="25" t="n"/>
      <x:c r="V177" s="25" t="n"/>
      <x:c r="W177" s="25">
        <x:f>IF(OR(AND(OR(O177="DELIVERED",O177="PARTIAL"),J177&lt;&gt;TRUE),AND(OR(E177="CASH",E177="DAY CHEQUE",E177="POST DATED CHQ"),I177&lt;&gt;TRUE),AND(OR(E177="CASH",E177="DAY CHEQUE",E177="POST DATED CHQ"),K177&lt;&gt;TRUE),AND(E177="POST DATED CHQ",ISBLANK(M177)),P177=TRUE,Q177=TRUE,AND(R177=TRUE,OR(ISBLANK(S177),ISBLANK(T177))),AND(E177="ONLINE",V177&lt;&gt;TRUE),AND(I177=TRUE,U177&lt;&gt;TRUE)),TRUE,FALSE)</x:f>
      </x:c>
      <x:c r="X177" s="22" t="n"/>
    </x:row>
    <x:row r="178">
      <x:c r="A178" s="22" t="n"/>
      <x:c r="B178" s="22" t="n"/>
      <x:c r="C178" s="22" t="n"/>
      <x:c r="D178" s="22" t="n"/>
      <x:c r="E178" s="22" t="n"/>
      <x:c r="F178" s="23" t="n"/>
      <x:c r="G178" s="23" t="n"/>
      <x:c r="H178" s="24">
        <x:f>IF(OR(ISBLANK(F178),ISBLANK(G178)),"",G178-F178)</x:f>
      </x:c>
      <x:c r="I178" s="25" t="n"/>
      <x:c r="J178" s="25" t="n"/>
      <x:c r="K178" s="25" t="n"/>
      <x:c r="L178" s="22" t="n"/>
      <x:c r="M178" s="22" t="n"/>
      <x:c r="N178" s="22" t="n"/>
      <x:c r="O178" s="22" t="n"/>
      <x:c r="P178" s="25" t="n"/>
      <x:c r="Q178" s="25" t="n"/>
      <x:c r="R178" s="25" t="n"/>
      <x:c r="S178" s="22" t="n"/>
      <x:c r="T178" s="23" t="n"/>
      <x:c r="U178" s="25" t="n"/>
      <x:c r="V178" s="25" t="n"/>
      <x:c r="W178" s="25">
        <x:f>IF(OR(AND(OR(O178="DELIVERED",O178="PARTIAL"),J178&lt;&gt;TRUE),AND(OR(E178="CASH",E178="DAY CHEQUE",E178="POST DATED CHQ"),I178&lt;&gt;TRUE),AND(OR(E178="CASH",E178="DAY CHEQUE",E178="POST DATED CHQ"),K178&lt;&gt;TRUE),AND(E178="POST DATED CHQ",ISBLANK(M178)),P178=TRUE,Q178=TRUE,AND(R178=TRUE,OR(ISBLANK(S178),ISBLANK(T178))),AND(E178="ONLINE",V178&lt;&gt;TRUE),AND(I178=TRUE,U178&lt;&gt;TRUE)),TRUE,FALSE)</x:f>
      </x:c>
      <x:c r="X178" s="22" t="n"/>
    </x:row>
    <x:row r="179">
      <x:c r="A179" s="22" t="n"/>
      <x:c r="B179" s="22" t="n"/>
      <x:c r="C179" s="22" t="n"/>
      <x:c r="D179" s="22" t="n"/>
      <x:c r="E179" s="22" t="n"/>
      <x:c r="F179" s="23" t="n"/>
      <x:c r="G179" s="23" t="n"/>
      <x:c r="H179" s="24">
        <x:f>IF(OR(ISBLANK(F179),ISBLANK(G179)),"",G179-F179)</x:f>
      </x:c>
      <x:c r="I179" s="25" t="n"/>
      <x:c r="J179" s="25" t="n"/>
      <x:c r="K179" s="25" t="n"/>
      <x:c r="L179" s="22" t="n"/>
      <x:c r="M179" s="22" t="n"/>
      <x:c r="N179" s="22" t="n"/>
      <x:c r="O179" s="22" t="n"/>
      <x:c r="P179" s="25" t="n"/>
      <x:c r="Q179" s="25" t="n"/>
      <x:c r="R179" s="25" t="n"/>
      <x:c r="S179" s="22" t="n"/>
      <x:c r="T179" s="23" t="n"/>
      <x:c r="U179" s="25" t="n"/>
      <x:c r="V179" s="25" t="n"/>
      <x:c r="W179" s="25">
        <x:f>IF(OR(AND(OR(O179="DELIVERED",O179="PARTIAL"),J179&lt;&gt;TRUE),AND(OR(E179="CASH",E179="DAY CHEQUE",E179="POST DATED CHQ"),I179&lt;&gt;TRUE),AND(OR(E179="CASH",E179="DAY CHEQUE",E179="POST DATED CHQ"),K179&lt;&gt;TRUE),AND(E179="POST DATED CHQ",ISBLANK(M179)),P179=TRUE,Q179=TRUE,AND(R179=TRUE,OR(ISBLANK(S179),ISBLANK(T179))),AND(E179="ONLINE",V179&lt;&gt;TRUE),AND(I179=TRUE,U179&lt;&gt;TRUE)),TRUE,FALSE)</x:f>
      </x:c>
      <x:c r="X179" s="22" t="n"/>
    </x:row>
    <x:row r="180">
      <x:c r="A180" s="22" t="n"/>
      <x:c r="B180" s="22" t="n"/>
      <x:c r="C180" s="22" t="n"/>
      <x:c r="D180" s="22" t="n"/>
      <x:c r="E180" s="22" t="n"/>
      <x:c r="F180" s="23" t="n"/>
      <x:c r="G180" s="23" t="n"/>
      <x:c r="H180" s="24">
        <x:f>IF(OR(ISBLANK(F180),ISBLANK(G180)),"",G180-F180)</x:f>
      </x:c>
      <x:c r="I180" s="25" t="n"/>
      <x:c r="J180" s="25" t="n"/>
      <x:c r="K180" s="25" t="n"/>
      <x:c r="L180" s="22" t="n"/>
      <x:c r="M180" s="22" t="n"/>
      <x:c r="N180" s="22" t="n"/>
      <x:c r="O180" s="22" t="n"/>
      <x:c r="P180" s="25" t="n"/>
      <x:c r="Q180" s="25" t="n"/>
      <x:c r="R180" s="25" t="n"/>
      <x:c r="S180" s="22" t="n"/>
      <x:c r="T180" s="23" t="n"/>
      <x:c r="U180" s="25" t="n"/>
      <x:c r="V180" s="25" t="n"/>
      <x:c r="W180" s="25">
        <x:f>IF(OR(AND(OR(O180="DELIVERED",O180="PARTIAL"),J180&lt;&gt;TRUE),AND(OR(E180="CASH",E180="DAY CHEQUE",E180="POST DATED CHQ"),I180&lt;&gt;TRUE),AND(OR(E180="CASH",E180="DAY CHEQUE",E180="POST DATED CHQ"),K180&lt;&gt;TRUE),AND(E180="POST DATED CHQ",ISBLANK(M180)),P180=TRUE,Q180=TRUE,AND(R180=TRUE,OR(ISBLANK(S180),ISBLANK(T180))),AND(E180="ONLINE",V180&lt;&gt;TRUE),AND(I180=TRUE,U180&lt;&gt;TRUE)),TRUE,FALSE)</x:f>
      </x:c>
      <x:c r="X180" s="22" t="n"/>
    </x:row>
    <x:row r="181">
      <x:c r="A181" s="22" t="n"/>
      <x:c r="B181" s="22" t="n"/>
      <x:c r="C181" s="22" t="n"/>
      <x:c r="D181" s="22" t="n"/>
      <x:c r="E181" s="22" t="n"/>
      <x:c r="F181" s="23" t="n"/>
      <x:c r="G181" s="23" t="n"/>
      <x:c r="H181" s="24">
        <x:f>IF(OR(ISBLANK(F181),ISBLANK(G181)),"",G181-F181)</x:f>
      </x:c>
      <x:c r="I181" s="25" t="n"/>
      <x:c r="J181" s="25" t="n"/>
      <x:c r="K181" s="25" t="n"/>
      <x:c r="L181" s="22" t="n"/>
      <x:c r="M181" s="22" t="n"/>
      <x:c r="N181" s="22" t="n"/>
      <x:c r="O181" s="22" t="n"/>
      <x:c r="P181" s="25" t="n"/>
      <x:c r="Q181" s="25" t="n"/>
      <x:c r="R181" s="25" t="n"/>
      <x:c r="S181" s="22" t="n"/>
      <x:c r="T181" s="23" t="n"/>
      <x:c r="U181" s="25" t="n"/>
      <x:c r="V181" s="25" t="n"/>
      <x:c r="W181" s="25">
        <x:f>IF(OR(AND(OR(O181="DELIVERED",O181="PARTIAL"),J181&lt;&gt;TRUE),AND(OR(E181="CASH",E181="DAY CHEQUE",E181="POST DATED CHQ"),I181&lt;&gt;TRUE),AND(OR(E181="CASH",E181="DAY CHEQUE",E181="POST DATED CHQ"),K181&lt;&gt;TRUE),AND(E181="POST DATED CHQ",ISBLANK(M181)),P181=TRUE,Q181=TRUE,AND(R181=TRUE,OR(ISBLANK(S181),ISBLANK(T181))),AND(E181="ONLINE",V181&lt;&gt;TRUE),AND(I181=TRUE,U181&lt;&gt;TRUE)),TRUE,FALSE)</x:f>
      </x:c>
      <x:c r="X181" s="22" t="n"/>
    </x:row>
    <x:row r="182">
      <x:c r="A182" s="22" t="n"/>
      <x:c r="B182" s="22" t="n"/>
      <x:c r="C182" s="22" t="n"/>
      <x:c r="D182" s="22" t="n"/>
      <x:c r="E182" s="22" t="n"/>
      <x:c r="F182" s="23" t="n"/>
      <x:c r="G182" s="23" t="n"/>
      <x:c r="H182" s="24">
        <x:f>IF(OR(ISBLANK(F182),ISBLANK(G182)),"",G182-F182)</x:f>
      </x:c>
      <x:c r="I182" s="25" t="n"/>
      <x:c r="J182" s="25" t="n"/>
      <x:c r="K182" s="25" t="n"/>
      <x:c r="L182" s="22" t="n"/>
      <x:c r="M182" s="22" t="n"/>
      <x:c r="N182" s="22" t="n"/>
      <x:c r="O182" s="22" t="n"/>
      <x:c r="P182" s="25" t="n"/>
      <x:c r="Q182" s="25" t="n"/>
      <x:c r="R182" s="25" t="n"/>
      <x:c r="S182" s="22" t="n"/>
      <x:c r="T182" s="23" t="n"/>
      <x:c r="U182" s="25" t="n"/>
      <x:c r="V182" s="25" t="n"/>
      <x:c r="W182" s="25">
        <x:f>IF(OR(AND(OR(O182="DELIVERED",O182="PARTIAL"),J182&lt;&gt;TRUE),AND(OR(E182="CASH",E182="DAY CHEQUE",E182="POST DATED CHQ"),I182&lt;&gt;TRUE),AND(OR(E182="CASH",E182="DAY CHEQUE",E182="POST DATED CHQ"),K182&lt;&gt;TRUE),AND(E182="POST DATED CHQ",ISBLANK(M182)),P182=TRUE,Q182=TRUE,AND(R182=TRUE,OR(ISBLANK(S182),ISBLANK(T182))),AND(E182="ONLINE",V182&lt;&gt;TRUE),AND(I182=TRUE,U182&lt;&gt;TRUE)),TRUE,FALSE)</x:f>
      </x:c>
      <x:c r="X182" s="22" t="n"/>
    </x:row>
    <x:row r="183">
      <x:c r="A183" s="22" t="n"/>
      <x:c r="B183" s="22" t="n"/>
      <x:c r="C183" s="22" t="n"/>
      <x:c r="D183" s="22" t="n"/>
      <x:c r="E183" s="22" t="n"/>
      <x:c r="F183" s="23" t="n"/>
      <x:c r="G183" s="23" t="n"/>
      <x:c r="H183" s="24">
        <x:f>IF(OR(ISBLANK(F183),ISBLANK(G183)),"",G183-F183)</x:f>
      </x:c>
      <x:c r="I183" s="25" t="n"/>
      <x:c r="J183" s="25" t="n"/>
      <x:c r="K183" s="25" t="n"/>
      <x:c r="L183" s="22" t="n"/>
      <x:c r="M183" s="22" t="n"/>
      <x:c r="N183" s="22" t="n"/>
      <x:c r="O183" s="22" t="n"/>
      <x:c r="P183" s="25" t="n"/>
      <x:c r="Q183" s="25" t="n"/>
      <x:c r="R183" s="25" t="n"/>
      <x:c r="S183" s="22" t="n"/>
      <x:c r="T183" s="23" t="n"/>
      <x:c r="U183" s="25" t="n"/>
      <x:c r="V183" s="25" t="n"/>
      <x:c r="W183" s="25">
        <x:f>IF(OR(AND(OR(O183="DELIVERED",O183="PARTIAL"),J183&lt;&gt;TRUE),AND(OR(E183="CASH",E183="DAY CHEQUE",E183="POST DATED CHQ"),I183&lt;&gt;TRUE),AND(OR(E183="CASH",E183="DAY CHEQUE",E183="POST DATED CHQ"),K183&lt;&gt;TRUE),AND(E183="POST DATED CHQ",ISBLANK(M183)),P183=TRUE,Q183=TRUE,AND(R183=TRUE,OR(ISBLANK(S183),ISBLANK(T183))),AND(E183="ONLINE",V183&lt;&gt;TRUE),AND(I183=TRUE,U183&lt;&gt;TRUE)),TRUE,FALSE)</x:f>
      </x:c>
      <x:c r="X183" s="22" t="n"/>
    </x:row>
    <x:row r="184">
      <x:c r="A184" s="22" t="n"/>
      <x:c r="B184" s="22" t="n"/>
      <x:c r="C184" s="22" t="n"/>
      <x:c r="D184" s="22" t="n"/>
      <x:c r="E184" s="22" t="n"/>
      <x:c r="F184" s="23" t="n"/>
      <x:c r="G184" s="23" t="n"/>
      <x:c r="H184" s="24">
        <x:f>IF(OR(ISBLANK(F184),ISBLANK(G184)),"",G184-F184)</x:f>
      </x:c>
      <x:c r="I184" s="25" t="n"/>
      <x:c r="J184" s="25" t="n"/>
      <x:c r="K184" s="25" t="n"/>
      <x:c r="L184" s="22" t="n"/>
      <x:c r="M184" s="22" t="n"/>
      <x:c r="N184" s="22" t="n"/>
      <x:c r="O184" s="22" t="n"/>
      <x:c r="P184" s="25" t="n"/>
      <x:c r="Q184" s="25" t="n"/>
      <x:c r="R184" s="25" t="n"/>
      <x:c r="S184" s="22" t="n"/>
      <x:c r="T184" s="23" t="n"/>
      <x:c r="U184" s="25" t="n"/>
      <x:c r="V184" s="25" t="n"/>
      <x:c r="W184" s="25">
        <x:f>IF(OR(AND(OR(O184="DELIVERED",O184="PARTIAL"),J184&lt;&gt;TRUE),AND(OR(E184="CASH",E184="DAY CHEQUE",E184="POST DATED CHQ"),I184&lt;&gt;TRUE),AND(OR(E184="CASH",E184="DAY CHEQUE",E184="POST DATED CHQ"),K184&lt;&gt;TRUE),AND(E184="POST DATED CHQ",ISBLANK(M184)),P184=TRUE,Q184=TRUE,AND(R184=TRUE,OR(ISBLANK(S184),ISBLANK(T184))),AND(E184="ONLINE",V184&lt;&gt;TRUE),AND(I184=TRUE,U184&lt;&gt;TRUE)),TRUE,FALSE)</x:f>
      </x:c>
      <x:c r="X184" s="22" t="n"/>
    </x:row>
    <x:row r="185">
      <x:c r="A185" s="22" t="n"/>
      <x:c r="B185" s="22" t="n"/>
      <x:c r="C185" s="22" t="n"/>
      <x:c r="D185" s="22" t="n"/>
      <x:c r="E185" s="22" t="n"/>
      <x:c r="F185" s="23" t="n"/>
      <x:c r="G185" s="23" t="n"/>
      <x:c r="H185" s="24">
        <x:f>IF(OR(ISBLANK(F185),ISBLANK(G185)),"",G185-F185)</x:f>
      </x:c>
      <x:c r="I185" s="25" t="n"/>
      <x:c r="J185" s="25" t="n"/>
      <x:c r="K185" s="25" t="n"/>
      <x:c r="L185" s="22" t="n"/>
      <x:c r="M185" s="22" t="n"/>
      <x:c r="N185" s="22" t="n"/>
      <x:c r="O185" s="22" t="n"/>
      <x:c r="P185" s="25" t="n"/>
      <x:c r="Q185" s="25" t="n"/>
      <x:c r="R185" s="25" t="n"/>
      <x:c r="S185" s="22" t="n"/>
      <x:c r="T185" s="23" t="n"/>
      <x:c r="U185" s="25" t="n"/>
      <x:c r="V185" s="25" t="n"/>
      <x:c r="W185" s="25">
        <x:f>IF(OR(AND(OR(O185="DELIVERED",O185="PARTIAL"),J185&lt;&gt;TRUE),AND(OR(E185="CASH",E185="DAY CHEQUE",E185="POST DATED CHQ"),I185&lt;&gt;TRUE),AND(OR(E185="CASH",E185="DAY CHEQUE",E185="POST DATED CHQ"),K185&lt;&gt;TRUE),AND(E185="POST DATED CHQ",ISBLANK(M185)),P185=TRUE,Q185=TRUE,AND(R185=TRUE,OR(ISBLANK(S185),ISBLANK(T185))),AND(E185="ONLINE",V185&lt;&gt;TRUE),AND(I185=TRUE,U185&lt;&gt;TRUE)),TRUE,FALSE)</x:f>
      </x:c>
      <x:c r="X185" s="22" t="n"/>
    </x:row>
    <x:row r="186">
      <x:c r="A186" s="22" t="n"/>
      <x:c r="B186" s="22" t="n"/>
      <x:c r="C186" s="22" t="n"/>
      <x:c r="D186" s="22" t="n"/>
      <x:c r="E186" s="22" t="n"/>
      <x:c r="F186" s="23" t="n"/>
      <x:c r="G186" s="23" t="n"/>
      <x:c r="H186" s="24">
        <x:f>IF(OR(ISBLANK(F186),ISBLANK(G186)),"",G186-F186)</x:f>
      </x:c>
      <x:c r="I186" s="25" t="n"/>
      <x:c r="J186" s="25" t="n"/>
      <x:c r="K186" s="25" t="n"/>
      <x:c r="L186" s="22" t="n"/>
      <x:c r="M186" s="22" t="n"/>
      <x:c r="N186" s="22" t="n"/>
      <x:c r="O186" s="22" t="n"/>
      <x:c r="P186" s="25" t="n"/>
      <x:c r="Q186" s="25" t="n"/>
      <x:c r="R186" s="25" t="n"/>
      <x:c r="S186" s="22" t="n"/>
      <x:c r="T186" s="23" t="n"/>
      <x:c r="U186" s="25" t="n"/>
      <x:c r="V186" s="25" t="n"/>
      <x:c r="W186" s="25">
        <x:f>IF(OR(AND(OR(O186="DELIVERED",O186="PARTIAL"),J186&lt;&gt;TRUE),AND(OR(E186="CASH",E186="DAY CHEQUE",E186="POST DATED CHQ"),I186&lt;&gt;TRUE),AND(OR(E186="CASH",E186="DAY CHEQUE",E186="POST DATED CHQ"),K186&lt;&gt;TRUE),AND(E186="POST DATED CHQ",ISBLANK(M186)),P186=TRUE,Q186=TRUE,AND(R186=TRUE,OR(ISBLANK(S186),ISBLANK(T186))),AND(E186="ONLINE",V186&lt;&gt;TRUE),AND(I186=TRUE,U186&lt;&gt;TRUE)),TRUE,FALSE)</x:f>
      </x:c>
      <x:c r="X186" s="22" t="n"/>
    </x:row>
    <x:row r="187">
      <x:c r="A187" s="22" t="n"/>
      <x:c r="B187" s="22" t="n"/>
      <x:c r="C187" s="22" t="n"/>
      <x:c r="D187" s="22" t="n"/>
      <x:c r="E187" s="22" t="n"/>
      <x:c r="F187" s="23" t="n"/>
      <x:c r="G187" s="23" t="n"/>
      <x:c r="H187" s="24">
        <x:f>IF(OR(ISBLANK(F187),ISBLANK(G187)),"",G187-F187)</x:f>
      </x:c>
      <x:c r="I187" s="25" t="n"/>
      <x:c r="J187" s="25" t="n"/>
      <x:c r="K187" s="25" t="n"/>
      <x:c r="L187" s="22" t="n"/>
      <x:c r="M187" s="22" t="n"/>
      <x:c r="N187" s="22" t="n"/>
      <x:c r="O187" s="22" t="n"/>
      <x:c r="P187" s="25" t="n"/>
      <x:c r="Q187" s="25" t="n"/>
      <x:c r="R187" s="25" t="n"/>
      <x:c r="S187" s="22" t="n"/>
      <x:c r="T187" s="23" t="n"/>
      <x:c r="U187" s="25" t="n"/>
      <x:c r="V187" s="25" t="n"/>
      <x:c r="W187" s="25">
        <x:f>IF(OR(AND(OR(O187="DELIVERED",O187="PARTIAL"),J187&lt;&gt;TRUE),AND(OR(E187="CASH",E187="DAY CHEQUE",E187="POST DATED CHQ"),I187&lt;&gt;TRUE),AND(OR(E187="CASH",E187="DAY CHEQUE",E187="POST DATED CHQ"),K187&lt;&gt;TRUE),AND(E187="POST DATED CHQ",ISBLANK(M187)),P187=TRUE,Q187=TRUE,AND(R187=TRUE,OR(ISBLANK(S187),ISBLANK(T187))),AND(E187="ONLINE",V187&lt;&gt;TRUE),AND(I187=TRUE,U187&lt;&gt;TRUE)),TRUE,FALSE)</x:f>
      </x:c>
      <x:c r="X187" s="22" t="n"/>
    </x:row>
    <x:row r="188">
      <x:c r="A188" s="22" t="n"/>
      <x:c r="B188" s="22" t="n"/>
      <x:c r="C188" s="22" t="n"/>
      <x:c r="D188" s="22" t="n"/>
      <x:c r="E188" s="22" t="n"/>
      <x:c r="F188" s="23" t="n"/>
      <x:c r="G188" s="23" t="n"/>
      <x:c r="H188" s="24">
        <x:f>IF(OR(ISBLANK(F188),ISBLANK(G188)),"",G188-F188)</x:f>
      </x:c>
      <x:c r="I188" s="25" t="n"/>
      <x:c r="J188" s="25" t="n"/>
      <x:c r="K188" s="25" t="n"/>
      <x:c r="L188" s="22" t="n"/>
      <x:c r="M188" s="22" t="n"/>
      <x:c r="N188" s="22" t="n"/>
      <x:c r="O188" s="22" t="n"/>
      <x:c r="P188" s="25" t="n"/>
      <x:c r="Q188" s="25" t="n"/>
      <x:c r="R188" s="25" t="n"/>
      <x:c r="S188" s="22" t="n"/>
      <x:c r="T188" s="23" t="n"/>
      <x:c r="U188" s="25" t="n"/>
      <x:c r="V188" s="25" t="n"/>
      <x:c r="W188" s="25">
        <x:f>IF(OR(AND(OR(O188="DELIVERED",O188="PARTIAL"),J188&lt;&gt;TRUE),AND(OR(E188="CASH",E188="DAY CHEQUE",E188="POST DATED CHQ"),I188&lt;&gt;TRUE),AND(OR(E188="CASH",E188="DAY CHEQUE",E188="POST DATED CHQ"),K188&lt;&gt;TRUE),AND(E188="POST DATED CHQ",ISBLANK(M188)),P188=TRUE,Q188=TRUE,AND(R188=TRUE,OR(ISBLANK(S188),ISBLANK(T188))),AND(E188="ONLINE",V188&lt;&gt;TRUE),AND(I188=TRUE,U188&lt;&gt;TRUE)),TRUE,FALSE)</x:f>
      </x:c>
      <x:c r="X188" s="22" t="n"/>
    </x:row>
    <x:row r="189">
      <x:c r="A189" s="22" t="n"/>
      <x:c r="B189" s="22" t="n"/>
      <x:c r="C189" s="22" t="n"/>
      <x:c r="D189" s="22" t="n"/>
      <x:c r="E189" s="22" t="n"/>
      <x:c r="F189" s="23" t="n"/>
      <x:c r="G189" s="23" t="n"/>
      <x:c r="H189" s="24">
        <x:f>IF(OR(ISBLANK(F189),ISBLANK(G189)),"",G189-F189)</x:f>
      </x:c>
      <x:c r="I189" s="25" t="n"/>
      <x:c r="J189" s="25" t="n"/>
      <x:c r="K189" s="25" t="n"/>
      <x:c r="L189" s="22" t="n"/>
      <x:c r="M189" s="22" t="n"/>
      <x:c r="N189" s="22" t="n"/>
      <x:c r="O189" s="22" t="n"/>
      <x:c r="P189" s="25" t="n"/>
      <x:c r="Q189" s="25" t="n"/>
      <x:c r="R189" s="25" t="n"/>
      <x:c r="S189" s="22" t="n"/>
      <x:c r="T189" s="23" t="n"/>
      <x:c r="U189" s="25" t="n"/>
      <x:c r="V189" s="25" t="n"/>
      <x:c r="W189" s="25">
        <x:f>IF(OR(AND(OR(O189="DELIVERED",O189="PARTIAL"),J189&lt;&gt;TRUE),AND(OR(E189="CASH",E189="DAY CHEQUE",E189="POST DATED CHQ"),I189&lt;&gt;TRUE),AND(OR(E189="CASH",E189="DAY CHEQUE",E189="POST DATED CHQ"),K189&lt;&gt;TRUE),AND(E189="POST DATED CHQ",ISBLANK(M189)),P189=TRUE,Q189=TRUE,AND(R189=TRUE,OR(ISBLANK(S189),ISBLANK(T189))),AND(E189="ONLINE",V189&lt;&gt;TRUE),AND(I189=TRUE,U189&lt;&gt;TRUE)),TRUE,FALSE)</x:f>
      </x:c>
      <x:c r="X189" s="22" t="n"/>
    </x:row>
    <x:row r="190">
      <x:c r="A190" s="22" t="n"/>
      <x:c r="B190" s="22" t="n"/>
      <x:c r="C190" s="22" t="n"/>
      <x:c r="D190" s="22" t="n"/>
      <x:c r="E190" s="22" t="n"/>
      <x:c r="F190" s="23" t="n"/>
      <x:c r="G190" s="23" t="n"/>
      <x:c r="H190" s="24">
        <x:f>IF(OR(ISBLANK(F190),ISBLANK(G190)),"",G190-F190)</x:f>
      </x:c>
      <x:c r="I190" s="25" t="n"/>
      <x:c r="J190" s="25" t="n"/>
      <x:c r="K190" s="25" t="n"/>
      <x:c r="L190" s="22" t="n"/>
      <x:c r="M190" s="22" t="n"/>
      <x:c r="N190" s="22" t="n"/>
      <x:c r="O190" s="22" t="n"/>
      <x:c r="P190" s="25" t="n"/>
      <x:c r="Q190" s="25" t="n"/>
      <x:c r="R190" s="25" t="n"/>
      <x:c r="S190" s="22" t="n"/>
      <x:c r="T190" s="23" t="n"/>
      <x:c r="U190" s="25" t="n"/>
      <x:c r="V190" s="25" t="n"/>
      <x:c r="W190" s="25">
        <x:f>IF(OR(AND(OR(O190="DELIVERED",O190="PARTIAL"),J190&lt;&gt;TRUE),AND(OR(E190="CASH",E190="DAY CHEQUE",E190="POST DATED CHQ"),I190&lt;&gt;TRUE),AND(OR(E190="CASH",E190="DAY CHEQUE",E190="POST DATED CHQ"),K190&lt;&gt;TRUE),AND(E190="POST DATED CHQ",ISBLANK(M190)),P190=TRUE,Q190=TRUE,AND(R190=TRUE,OR(ISBLANK(S190),ISBLANK(T190))),AND(E190="ONLINE",V190&lt;&gt;TRUE),AND(I190=TRUE,U190&lt;&gt;TRUE)),TRUE,FALSE)</x:f>
      </x:c>
      <x:c r="X190" s="22" t="n"/>
    </x:row>
    <x:row r="191">
      <x:c r="A191" s="22" t="n"/>
      <x:c r="B191" s="22" t="n"/>
      <x:c r="C191" s="22" t="n"/>
      <x:c r="D191" s="22" t="n"/>
      <x:c r="E191" s="22" t="n"/>
      <x:c r="F191" s="23" t="n"/>
      <x:c r="G191" s="23" t="n"/>
      <x:c r="H191" s="24">
        <x:f>IF(OR(ISBLANK(F191),ISBLANK(G191)),"",G191-F191)</x:f>
      </x:c>
      <x:c r="I191" s="25" t="n"/>
      <x:c r="J191" s="25" t="n"/>
      <x:c r="K191" s="25" t="n"/>
      <x:c r="L191" s="22" t="n"/>
      <x:c r="M191" s="22" t="n"/>
      <x:c r="N191" s="22" t="n"/>
      <x:c r="O191" s="22" t="n"/>
      <x:c r="P191" s="25" t="n"/>
      <x:c r="Q191" s="25" t="n"/>
      <x:c r="R191" s="25" t="n"/>
      <x:c r="S191" s="22" t="n"/>
      <x:c r="T191" s="23" t="n"/>
      <x:c r="U191" s="25" t="n"/>
      <x:c r="V191" s="25" t="n"/>
      <x:c r="W191" s="25">
        <x:f>IF(OR(AND(OR(O191="DELIVERED",O191="PARTIAL"),J191&lt;&gt;TRUE),AND(OR(E191="CASH",E191="DAY CHEQUE",E191="POST DATED CHQ"),I191&lt;&gt;TRUE),AND(OR(E191="CASH",E191="DAY CHEQUE",E191="POST DATED CHQ"),K191&lt;&gt;TRUE),AND(E191="POST DATED CHQ",ISBLANK(M191)),P191=TRUE,Q191=TRUE,AND(R191=TRUE,OR(ISBLANK(S191),ISBLANK(T191))),AND(E191="ONLINE",V191&lt;&gt;TRUE),AND(I191=TRUE,U191&lt;&gt;TRUE)),TRUE,FALSE)</x:f>
      </x:c>
      <x:c r="X191" s="22" t="n"/>
    </x:row>
    <x:row r="192">
      <x:c r="A192" s="22" t="n"/>
      <x:c r="B192" s="22" t="n"/>
      <x:c r="C192" s="22" t="n"/>
      <x:c r="D192" s="22" t="n"/>
      <x:c r="E192" s="22" t="n"/>
      <x:c r="F192" s="23" t="n"/>
      <x:c r="G192" s="23" t="n"/>
      <x:c r="H192" s="24">
        <x:f>IF(OR(ISBLANK(F192),ISBLANK(G192)),"",G192-F192)</x:f>
      </x:c>
      <x:c r="I192" s="25" t="n"/>
      <x:c r="J192" s="25" t="n"/>
      <x:c r="K192" s="25" t="n"/>
      <x:c r="L192" s="22" t="n"/>
      <x:c r="M192" s="22" t="n"/>
      <x:c r="N192" s="22" t="n"/>
      <x:c r="O192" s="22" t="n"/>
      <x:c r="P192" s="25" t="n"/>
      <x:c r="Q192" s="25" t="n"/>
      <x:c r="R192" s="25" t="n"/>
      <x:c r="S192" s="22" t="n"/>
      <x:c r="T192" s="23" t="n"/>
      <x:c r="U192" s="25" t="n"/>
      <x:c r="V192" s="25" t="n"/>
      <x:c r="W192" s="25">
        <x:f>IF(OR(AND(OR(O192="DELIVERED",O192="PARTIAL"),J192&lt;&gt;TRUE),AND(OR(E192="CASH",E192="DAY CHEQUE",E192="POST DATED CHQ"),I192&lt;&gt;TRUE),AND(OR(E192="CASH",E192="DAY CHEQUE",E192="POST DATED CHQ"),K192&lt;&gt;TRUE),AND(E192="POST DATED CHQ",ISBLANK(M192)),P192=TRUE,Q192=TRUE,AND(R192=TRUE,OR(ISBLANK(S192),ISBLANK(T192))),AND(E192="ONLINE",V192&lt;&gt;TRUE),AND(I192=TRUE,U192&lt;&gt;TRUE)),TRUE,FALSE)</x:f>
      </x:c>
      <x:c r="X192" s="22" t="n"/>
    </x:row>
    <x:row r="193">
      <x:c r="A193" s="22" t="n"/>
      <x:c r="B193" s="22" t="n"/>
      <x:c r="C193" s="22" t="n"/>
      <x:c r="D193" s="22" t="n"/>
      <x:c r="E193" s="22" t="n"/>
      <x:c r="F193" s="23" t="n"/>
      <x:c r="G193" s="23" t="n"/>
      <x:c r="H193" s="24">
        <x:f>IF(OR(ISBLANK(F193),ISBLANK(G193)),"",G193-F193)</x:f>
      </x:c>
      <x:c r="I193" s="25" t="n"/>
      <x:c r="J193" s="25" t="n"/>
      <x:c r="K193" s="25" t="n"/>
      <x:c r="L193" s="22" t="n"/>
      <x:c r="M193" s="22" t="n"/>
      <x:c r="N193" s="22" t="n"/>
      <x:c r="O193" s="22" t="n"/>
      <x:c r="P193" s="25" t="n"/>
      <x:c r="Q193" s="25" t="n"/>
      <x:c r="R193" s="25" t="n"/>
      <x:c r="S193" s="22" t="n"/>
      <x:c r="T193" s="23" t="n"/>
      <x:c r="U193" s="25" t="n"/>
      <x:c r="V193" s="25" t="n"/>
      <x:c r="W193" s="25">
        <x:f>IF(OR(AND(OR(O193="DELIVERED",O193="PARTIAL"),J193&lt;&gt;TRUE),AND(OR(E193="CASH",E193="DAY CHEQUE",E193="POST DATED CHQ"),I193&lt;&gt;TRUE),AND(OR(E193="CASH",E193="DAY CHEQUE",E193="POST DATED CHQ"),K193&lt;&gt;TRUE),AND(E193="POST DATED CHQ",ISBLANK(M193)),P193=TRUE,Q193=TRUE,AND(R193=TRUE,OR(ISBLANK(S193),ISBLANK(T193))),AND(E193="ONLINE",V193&lt;&gt;TRUE),AND(I193=TRUE,U193&lt;&gt;TRUE)),TRUE,FALSE)</x:f>
      </x:c>
      <x:c r="X193" s="22" t="n"/>
    </x:row>
    <x:row r="194">
      <x:c r="A194" s="22" t="n"/>
      <x:c r="B194" s="22" t="n"/>
      <x:c r="C194" s="22" t="n"/>
      <x:c r="D194" s="22" t="n"/>
      <x:c r="E194" s="22" t="n"/>
      <x:c r="F194" s="23" t="n"/>
      <x:c r="G194" s="23" t="n"/>
      <x:c r="H194" s="24">
        <x:f>IF(OR(ISBLANK(F194),ISBLANK(G194)),"",G194-F194)</x:f>
      </x:c>
      <x:c r="I194" s="25" t="n"/>
      <x:c r="J194" s="25" t="n"/>
      <x:c r="K194" s="25" t="n"/>
      <x:c r="L194" s="22" t="n"/>
      <x:c r="M194" s="22" t="n"/>
      <x:c r="N194" s="22" t="n"/>
      <x:c r="O194" s="22" t="n"/>
      <x:c r="P194" s="25" t="n"/>
      <x:c r="Q194" s="25" t="n"/>
      <x:c r="R194" s="25" t="n"/>
      <x:c r="S194" s="22" t="n"/>
      <x:c r="T194" s="23" t="n"/>
      <x:c r="U194" s="25" t="n"/>
      <x:c r="V194" s="25" t="n"/>
      <x:c r="W194" s="25">
        <x:f>IF(OR(AND(OR(O194="DELIVERED",O194="PARTIAL"),J194&lt;&gt;TRUE),AND(OR(E194="CASH",E194="DAY CHEQUE",E194="POST DATED CHQ"),I194&lt;&gt;TRUE),AND(OR(E194="CASH",E194="DAY CHEQUE",E194="POST DATED CHQ"),K194&lt;&gt;TRUE),AND(E194="POST DATED CHQ",ISBLANK(M194)),P194=TRUE,Q194=TRUE,AND(R194=TRUE,OR(ISBLANK(S194),ISBLANK(T194))),AND(E194="ONLINE",V194&lt;&gt;TRUE),AND(I194=TRUE,U194&lt;&gt;TRUE)),TRUE,FALSE)</x:f>
      </x:c>
      <x:c r="X194" s="22" t="n"/>
    </x:row>
    <x:row r="195">
      <x:c r="A195" s="22" t="n"/>
      <x:c r="B195" s="22" t="n"/>
      <x:c r="C195" s="22" t="n"/>
      <x:c r="D195" s="22" t="n"/>
      <x:c r="E195" s="22" t="n"/>
      <x:c r="F195" s="23" t="n"/>
      <x:c r="G195" s="23" t="n"/>
      <x:c r="H195" s="24">
        <x:f>IF(OR(ISBLANK(F195),ISBLANK(G195)),"",G195-F195)</x:f>
      </x:c>
      <x:c r="I195" s="25" t="n"/>
      <x:c r="J195" s="25" t="n"/>
      <x:c r="K195" s="25" t="n"/>
      <x:c r="L195" s="22" t="n"/>
      <x:c r="M195" s="22" t="n"/>
      <x:c r="N195" s="22" t="n"/>
      <x:c r="O195" s="22" t="n"/>
      <x:c r="P195" s="25" t="n"/>
      <x:c r="Q195" s="25" t="n"/>
      <x:c r="R195" s="25" t="n"/>
      <x:c r="S195" s="22" t="n"/>
      <x:c r="T195" s="23" t="n"/>
      <x:c r="U195" s="25" t="n"/>
      <x:c r="V195" s="25" t="n"/>
      <x:c r="W195" s="25">
        <x:f>IF(OR(AND(OR(O195="DELIVERED",O195="PARTIAL"),J195&lt;&gt;TRUE),AND(OR(E195="CASH",E195="DAY CHEQUE",E195="POST DATED CHQ"),I195&lt;&gt;TRUE),AND(OR(E195="CASH",E195="DAY CHEQUE",E195="POST DATED CHQ"),K195&lt;&gt;TRUE),AND(E195="POST DATED CHQ",ISBLANK(M195)),P195=TRUE,Q195=TRUE,AND(R195=TRUE,OR(ISBLANK(S195),ISBLANK(T195))),AND(E195="ONLINE",V195&lt;&gt;TRUE),AND(I195=TRUE,U195&lt;&gt;TRUE)),TRUE,FALSE)</x:f>
      </x:c>
      <x:c r="X195" s="22" t="n"/>
    </x:row>
    <x:row r="196">
      <x:c r="A196" s="22" t="n"/>
      <x:c r="B196" s="22" t="n"/>
      <x:c r="C196" s="22" t="n"/>
      <x:c r="D196" s="22" t="n"/>
      <x:c r="E196" s="22" t="n"/>
      <x:c r="F196" s="23" t="n"/>
      <x:c r="G196" s="23" t="n"/>
      <x:c r="H196" s="24">
        <x:f>IF(OR(ISBLANK(F196),ISBLANK(G196)),"",G196-F196)</x:f>
      </x:c>
      <x:c r="I196" s="25" t="n"/>
      <x:c r="J196" s="25" t="n"/>
      <x:c r="K196" s="25" t="n"/>
      <x:c r="L196" s="22" t="n"/>
      <x:c r="M196" s="22" t="n"/>
      <x:c r="N196" s="22" t="n"/>
      <x:c r="O196" s="22" t="n"/>
      <x:c r="P196" s="25" t="n"/>
      <x:c r="Q196" s="25" t="n"/>
      <x:c r="R196" s="25" t="n"/>
      <x:c r="S196" s="22" t="n"/>
      <x:c r="T196" s="23" t="n"/>
      <x:c r="U196" s="25" t="n"/>
      <x:c r="V196" s="25" t="n"/>
      <x:c r="W196" s="25">
        <x:f>IF(OR(AND(OR(O196="DELIVERED",O196="PARTIAL"),J196&lt;&gt;TRUE),AND(OR(E196="CASH",E196="DAY CHEQUE",E196="POST DATED CHQ"),I196&lt;&gt;TRUE),AND(OR(E196="CASH",E196="DAY CHEQUE",E196="POST DATED CHQ"),K196&lt;&gt;TRUE),AND(E196="POST DATED CHQ",ISBLANK(M196)),P196=TRUE,Q196=TRUE,AND(R196=TRUE,OR(ISBLANK(S196),ISBLANK(T196))),AND(E196="ONLINE",V196&lt;&gt;TRUE),AND(I196=TRUE,U196&lt;&gt;TRUE)),TRUE,FALSE)</x:f>
      </x:c>
      <x:c r="X196" s="22" t="n"/>
    </x:row>
    <x:row r="197">
      <x:c r="A197" s="22" t="n"/>
      <x:c r="B197" s="22" t="n"/>
      <x:c r="C197" s="22" t="n"/>
      <x:c r="D197" s="22" t="n"/>
      <x:c r="E197" s="22" t="n"/>
      <x:c r="F197" s="23" t="n"/>
      <x:c r="G197" s="23" t="n"/>
      <x:c r="H197" s="24">
        <x:f>IF(OR(ISBLANK(F197),ISBLANK(G197)),"",G197-F197)</x:f>
      </x:c>
      <x:c r="I197" s="25" t="n"/>
      <x:c r="J197" s="25" t="n"/>
      <x:c r="K197" s="25" t="n"/>
      <x:c r="L197" s="22" t="n"/>
      <x:c r="M197" s="22" t="n"/>
      <x:c r="N197" s="22" t="n"/>
      <x:c r="O197" s="22" t="n"/>
      <x:c r="P197" s="25" t="n"/>
      <x:c r="Q197" s="25" t="n"/>
      <x:c r="R197" s="25" t="n"/>
      <x:c r="S197" s="22" t="n"/>
      <x:c r="T197" s="23" t="n"/>
      <x:c r="U197" s="25" t="n"/>
      <x:c r="V197" s="25" t="n"/>
      <x:c r="W197" s="25">
        <x:f>IF(OR(AND(OR(O197="DELIVERED",O197="PARTIAL"),J197&lt;&gt;TRUE),AND(OR(E197="CASH",E197="DAY CHEQUE",E197="POST DATED CHQ"),I197&lt;&gt;TRUE),AND(OR(E197="CASH",E197="DAY CHEQUE",E197="POST DATED CHQ"),K197&lt;&gt;TRUE),AND(E197="POST DATED CHQ",ISBLANK(M197)),P197=TRUE,Q197=TRUE,AND(R197=TRUE,OR(ISBLANK(S197),ISBLANK(T197))),AND(E197="ONLINE",V197&lt;&gt;TRUE),AND(I197=TRUE,U197&lt;&gt;TRUE)),TRUE,FALSE)</x:f>
      </x:c>
      <x:c r="X197" s="22" t="n"/>
    </x:row>
    <x:row r="198">
      <x:c r="A198" s="22" t="n"/>
      <x:c r="B198" s="22" t="n"/>
      <x:c r="C198" s="22" t="n"/>
      <x:c r="D198" s="22" t="n"/>
      <x:c r="E198" s="22" t="n"/>
      <x:c r="F198" s="23" t="n"/>
      <x:c r="G198" s="23" t="n"/>
      <x:c r="H198" s="24">
        <x:f>IF(OR(ISBLANK(F198),ISBLANK(G198)),"",G198-F198)</x:f>
      </x:c>
      <x:c r="I198" s="25" t="n"/>
      <x:c r="J198" s="25" t="n"/>
      <x:c r="K198" s="25" t="n"/>
      <x:c r="L198" s="22" t="n"/>
      <x:c r="M198" s="22" t="n"/>
      <x:c r="N198" s="22" t="n"/>
      <x:c r="O198" s="22" t="n"/>
      <x:c r="P198" s="25" t="n"/>
      <x:c r="Q198" s="25" t="n"/>
      <x:c r="R198" s="25" t="n"/>
      <x:c r="S198" s="22" t="n"/>
      <x:c r="T198" s="23" t="n"/>
      <x:c r="U198" s="25" t="n"/>
      <x:c r="V198" s="25" t="n"/>
      <x:c r="W198" s="25">
        <x:f>IF(OR(AND(OR(O198="DELIVERED",O198="PARTIAL"),J198&lt;&gt;TRUE),AND(OR(E198="CASH",E198="DAY CHEQUE",E198="POST DATED CHQ"),I198&lt;&gt;TRUE),AND(OR(E198="CASH",E198="DAY CHEQUE",E198="POST DATED CHQ"),K198&lt;&gt;TRUE),AND(E198="POST DATED CHQ",ISBLANK(M198)),P198=TRUE,Q198=TRUE,AND(R198=TRUE,OR(ISBLANK(S198),ISBLANK(T198))),AND(E198="ONLINE",V198&lt;&gt;TRUE),AND(I198=TRUE,U198&lt;&gt;TRUE)),TRUE,FALSE)</x:f>
      </x:c>
      <x:c r="X198" s="22" t="n"/>
    </x:row>
    <x:row r="199">
      <x:c r="A199" s="22" t="n"/>
      <x:c r="B199" s="22" t="n"/>
      <x:c r="C199" s="22" t="n"/>
      <x:c r="D199" s="22" t="n"/>
      <x:c r="E199" s="22" t="n"/>
      <x:c r="F199" s="23" t="n"/>
      <x:c r="G199" s="23" t="n"/>
      <x:c r="H199" s="24">
        <x:f>IF(OR(ISBLANK(F199),ISBLANK(G199)),"",G199-F199)</x:f>
      </x:c>
      <x:c r="I199" s="25" t="n"/>
      <x:c r="J199" s="25" t="n"/>
      <x:c r="K199" s="25" t="n"/>
      <x:c r="L199" s="22" t="n"/>
      <x:c r="M199" s="22" t="n"/>
      <x:c r="N199" s="22" t="n"/>
      <x:c r="O199" s="22" t="n"/>
      <x:c r="P199" s="25" t="n"/>
      <x:c r="Q199" s="25" t="n"/>
      <x:c r="R199" s="25" t="n"/>
      <x:c r="S199" s="22" t="n"/>
      <x:c r="T199" s="23" t="n"/>
      <x:c r="U199" s="25" t="n"/>
      <x:c r="V199" s="25" t="n"/>
      <x:c r="W199" s="25">
        <x:f>IF(OR(AND(OR(O199="DELIVERED",O199="PARTIAL"),J199&lt;&gt;TRUE),AND(OR(E199="CASH",E199="DAY CHEQUE",E199="POST DATED CHQ"),I199&lt;&gt;TRUE),AND(OR(E199="CASH",E199="DAY CHEQUE",E199="POST DATED CHQ"),K199&lt;&gt;TRUE),AND(E199="POST DATED CHQ",ISBLANK(M199)),P199=TRUE,Q199=TRUE,AND(R199=TRUE,OR(ISBLANK(S199),ISBLANK(T199))),AND(E199="ONLINE",V199&lt;&gt;TRUE),AND(I199=TRUE,U199&lt;&gt;TRUE)),TRUE,FALSE)</x:f>
      </x:c>
      <x:c r="X199" s="22" t="n"/>
    </x:row>
    <x:row r="200">
      <x:c r="A200" s="22" t="n"/>
      <x:c r="B200" s="22" t="n"/>
      <x:c r="C200" s="22" t="n"/>
      <x:c r="D200" s="22" t="n"/>
      <x:c r="E200" s="22" t="n"/>
      <x:c r="F200" s="23" t="n"/>
      <x:c r="G200" s="23" t="n"/>
      <x:c r="H200" s="24">
        <x:f>IF(OR(ISBLANK(F200),ISBLANK(G200)),"",G200-F200)</x:f>
      </x:c>
      <x:c r="I200" s="25" t="n"/>
      <x:c r="J200" s="25" t="n"/>
      <x:c r="K200" s="25" t="n"/>
      <x:c r="L200" s="22" t="n"/>
      <x:c r="M200" s="22" t="n"/>
      <x:c r="N200" s="22" t="n"/>
      <x:c r="O200" s="22" t="n"/>
      <x:c r="P200" s="25" t="n"/>
      <x:c r="Q200" s="25" t="n"/>
      <x:c r="R200" s="25" t="n"/>
      <x:c r="S200" s="22" t="n"/>
      <x:c r="T200" s="23" t="n"/>
      <x:c r="U200" s="25" t="n"/>
      <x:c r="V200" s="25" t="n"/>
      <x:c r="W200" s="25">
        <x:f>IF(OR(AND(OR(O200="DELIVERED",O200="PARTIAL"),J200&lt;&gt;TRUE),AND(OR(E200="CASH",E200="DAY CHEQUE",E200="POST DATED CHQ"),I200&lt;&gt;TRUE),AND(OR(E200="CASH",E200="DAY CHEQUE",E200="POST DATED CHQ"),K200&lt;&gt;TRUE),AND(E200="POST DATED CHQ",ISBLANK(M200)),P200=TRUE,Q200=TRUE,AND(R200=TRUE,OR(ISBLANK(S200),ISBLANK(T200))),AND(E200="ONLINE",V200&lt;&gt;TRUE),AND(I200=TRUE,U200&lt;&gt;TRUE)),TRUE,FALSE)</x:f>
      </x:c>
      <x:c r="X200" s="22" t="n"/>
    </x:row>
    <x:row r="201">
      <x:c r="A201" s="22" t="n"/>
      <x:c r="B201" s="22" t="n"/>
      <x:c r="C201" s="22" t="n"/>
      <x:c r="D201" s="22" t="n"/>
      <x:c r="E201" s="22" t="n"/>
      <x:c r="F201" s="23" t="n"/>
      <x:c r="G201" s="23" t="n"/>
      <x:c r="H201" s="24">
        <x:f>IF(OR(ISBLANK(F201),ISBLANK(G201)),"",G201-F201)</x:f>
      </x:c>
      <x:c r="I201" s="25" t="n"/>
      <x:c r="J201" s="25" t="n"/>
      <x:c r="K201" s="25" t="n"/>
      <x:c r="L201" s="22" t="n"/>
      <x:c r="M201" s="22" t="n"/>
      <x:c r="N201" s="22" t="n"/>
      <x:c r="O201" s="22" t="n"/>
      <x:c r="P201" s="25" t="n"/>
      <x:c r="Q201" s="25" t="n"/>
      <x:c r="R201" s="25" t="n"/>
      <x:c r="S201" s="22" t="n"/>
      <x:c r="T201" s="23" t="n"/>
      <x:c r="U201" s="25" t="n"/>
      <x:c r="V201" s="25" t="n"/>
      <x:c r="W201" s="25">
        <x:f>IF(OR(AND(OR(O201="DELIVERED",O201="PARTIAL"),J201&lt;&gt;TRUE),AND(OR(E201="CASH",E201="DAY CHEQUE",E201="POST DATED CHQ"),I201&lt;&gt;TRUE),AND(OR(E201="CASH",E201="DAY CHEQUE",E201="POST DATED CHQ"),K201&lt;&gt;TRUE),AND(E201="POST DATED CHQ",ISBLANK(M201)),P201=TRUE,Q201=TRUE,AND(R201=TRUE,OR(ISBLANK(S201),ISBLANK(T201))),AND(E201="ONLINE",V201&lt;&gt;TRUE),AND(I201=TRUE,U201&lt;&gt;TRUE)),TRUE,FALSE)</x:f>
      </x:c>
      <x:c r="X201" s="22" t="n"/>
    </x:row>
    <x:row r="202">
      <x:c r="A202" s="22" t="n"/>
      <x:c r="B202" s="22" t="n"/>
      <x:c r="C202" s="22" t="n"/>
      <x:c r="D202" s="22" t="n"/>
      <x:c r="E202" s="22" t="n"/>
      <x:c r="F202" s="23" t="n"/>
      <x:c r="G202" s="23" t="n"/>
      <x:c r="H202" s="24">
        <x:f>IF(OR(ISBLANK(F202),ISBLANK(G202)),"",G202-F202)</x:f>
      </x:c>
      <x:c r="I202" s="25" t="n"/>
      <x:c r="J202" s="25" t="n"/>
      <x:c r="K202" s="25" t="n"/>
      <x:c r="L202" s="22" t="n"/>
      <x:c r="M202" s="22" t="n"/>
      <x:c r="N202" s="22" t="n"/>
      <x:c r="O202" s="22" t="n"/>
      <x:c r="P202" s="25" t="n"/>
      <x:c r="Q202" s="25" t="n"/>
      <x:c r="R202" s="25" t="n"/>
      <x:c r="S202" s="22" t="n"/>
      <x:c r="T202" s="23" t="n"/>
      <x:c r="U202" s="25" t="n"/>
      <x:c r="V202" s="25" t="n"/>
      <x:c r="W202" s="25">
        <x:f>IF(OR(AND(OR(O202="DELIVERED",O202="PARTIAL"),J202&lt;&gt;TRUE),AND(OR(E202="CASH",E202="DAY CHEQUE",E202="POST DATED CHQ"),I202&lt;&gt;TRUE),AND(OR(E202="CASH",E202="DAY CHEQUE",E202="POST DATED CHQ"),K202&lt;&gt;TRUE),AND(E202="POST DATED CHQ",ISBLANK(M202)),P202=TRUE,Q202=TRUE,AND(R202=TRUE,OR(ISBLANK(S202),ISBLANK(T202))),AND(E202="ONLINE",V202&lt;&gt;TRUE),AND(I202=TRUE,U202&lt;&gt;TRUE)),TRUE,FALSE)</x:f>
      </x:c>
      <x:c r="X202" s="22" t="n"/>
    </x:row>
    <x:row r="203">
      <x:c r="A203" s="22" t="n"/>
      <x:c r="B203" s="22" t="n"/>
      <x:c r="C203" s="22" t="n"/>
      <x:c r="D203" s="22" t="n"/>
      <x:c r="E203" s="22" t="n"/>
      <x:c r="F203" s="23" t="n"/>
      <x:c r="G203" s="23" t="n"/>
      <x:c r="H203" s="24">
        <x:f>IF(OR(ISBLANK(F203),ISBLANK(G203)),"",G203-F203)</x:f>
      </x:c>
      <x:c r="I203" s="25" t="n"/>
      <x:c r="J203" s="25" t="n"/>
      <x:c r="K203" s="25" t="n"/>
      <x:c r="L203" s="22" t="n"/>
      <x:c r="M203" s="22" t="n"/>
      <x:c r="N203" s="22" t="n"/>
      <x:c r="O203" s="22" t="n"/>
      <x:c r="P203" s="25" t="n"/>
      <x:c r="Q203" s="25" t="n"/>
      <x:c r="R203" s="25" t="n"/>
      <x:c r="S203" s="22" t="n"/>
      <x:c r="T203" s="23" t="n"/>
      <x:c r="U203" s="25" t="n"/>
      <x:c r="V203" s="25" t="n"/>
      <x:c r="W203" s="25">
        <x:f>IF(OR(AND(OR(O203="DELIVERED",O203="PARTIAL"),J203&lt;&gt;TRUE),AND(OR(E203="CASH",E203="DAY CHEQUE",E203="POST DATED CHQ"),I203&lt;&gt;TRUE),AND(OR(E203="CASH",E203="DAY CHEQUE",E203="POST DATED CHQ"),K203&lt;&gt;TRUE),AND(E203="POST DATED CHQ",ISBLANK(M203)),P203=TRUE,Q203=TRUE,AND(R203=TRUE,OR(ISBLANK(S203),ISBLANK(T203))),AND(E203="ONLINE",V203&lt;&gt;TRUE),AND(I203=TRUE,U203&lt;&gt;TRUE)),TRUE,FALSE)</x:f>
      </x:c>
      <x:c r="X203" s="22" t="n"/>
    </x:row>
    <x:row r="204">
      <x:c r="A204" s="22" t="n"/>
      <x:c r="B204" s="22" t="n"/>
      <x:c r="C204" s="22" t="n"/>
      <x:c r="D204" s="22" t="n"/>
      <x:c r="E204" s="22" t="n"/>
      <x:c r="F204" s="23" t="n"/>
      <x:c r="G204" s="23" t="n"/>
      <x:c r="H204" s="24">
        <x:f>IF(OR(ISBLANK(F204),ISBLANK(G204)),"",G204-F204)</x:f>
      </x:c>
      <x:c r="I204" s="25" t="n"/>
      <x:c r="J204" s="25" t="n"/>
      <x:c r="K204" s="25" t="n"/>
      <x:c r="L204" s="22" t="n"/>
      <x:c r="M204" s="22" t="n"/>
      <x:c r="N204" s="22" t="n"/>
      <x:c r="O204" s="22" t="n"/>
      <x:c r="P204" s="25" t="n"/>
      <x:c r="Q204" s="25" t="n"/>
      <x:c r="R204" s="25" t="n"/>
      <x:c r="S204" s="22" t="n"/>
      <x:c r="T204" s="23" t="n"/>
      <x:c r="U204" s="25" t="n"/>
      <x:c r="V204" s="25" t="n"/>
      <x:c r="W204" s="25">
        <x:f>IF(OR(AND(OR(O204="DELIVERED",O204="PARTIAL"),J204&lt;&gt;TRUE),AND(OR(E204="CASH",E204="DAY CHEQUE",E204="POST DATED CHQ"),I204&lt;&gt;TRUE),AND(OR(E204="CASH",E204="DAY CHEQUE",E204="POST DATED CHQ"),K204&lt;&gt;TRUE),AND(E204="POST DATED CHQ",ISBLANK(M204)),P204=TRUE,Q204=TRUE,AND(R204=TRUE,OR(ISBLANK(S204),ISBLANK(T204))),AND(E204="ONLINE",V204&lt;&gt;TRUE),AND(I204=TRUE,U204&lt;&gt;TRUE)),TRUE,FALSE)</x:f>
      </x:c>
      <x:c r="X204" s="22" t="n"/>
    </x:row>
    <x:row r="205">
      <x:c r="A205" s="22" t="n"/>
      <x:c r="B205" s="22" t="n"/>
      <x:c r="C205" s="22" t="n"/>
      <x:c r="D205" s="22" t="n"/>
      <x:c r="E205" s="22" t="n"/>
      <x:c r="F205" s="23" t="n"/>
      <x:c r="G205" s="23" t="n"/>
      <x:c r="H205" s="24">
        <x:f>IF(OR(ISBLANK(F205),ISBLANK(G205)),"",G205-F205)</x:f>
      </x:c>
      <x:c r="I205" s="25" t="n"/>
      <x:c r="J205" s="25" t="n"/>
      <x:c r="K205" s="25" t="n"/>
      <x:c r="L205" s="22" t="n"/>
      <x:c r="M205" s="22" t="n"/>
      <x:c r="N205" s="22" t="n"/>
      <x:c r="O205" s="22" t="n"/>
      <x:c r="P205" s="25" t="n"/>
      <x:c r="Q205" s="25" t="n"/>
      <x:c r="R205" s="25" t="n"/>
      <x:c r="S205" s="22" t="n"/>
      <x:c r="T205" s="23" t="n"/>
      <x:c r="U205" s="25" t="n"/>
      <x:c r="V205" s="25" t="n"/>
      <x:c r="W205" s="25">
        <x:f>IF(OR(AND(OR(O205="DELIVERED",O205="PARTIAL"),J205&lt;&gt;TRUE),AND(OR(E205="CASH",E205="DAY CHEQUE",E205="POST DATED CHQ"),I205&lt;&gt;TRUE),AND(OR(E205="CASH",E205="DAY CHEQUE",E205="POST DATED CHQ"),K205&lt;&gt;TRUE),AND(E205="POST DATED CHQ",ISBLANK(M205)),P205=TRUE,Q205=TRUE,AND(R205=TRUE,OR(ISBLANK(S205),ISBLANK(T205))),AND(E205="ONLINE",V205&lt;&gt;TRUE),AND(I205=TRUE,U205&lt;&gt;TRUE)),TRUE,FALSE)</x:f>
      </x:c>
      <x:c r="X205" s="22" t="n"/>
    </x:row>
    <x:row r="206">
      <x:c r="A206" s="22" t="n"/>
      <x:c r="B206" s="22" t="n"/>
      <x:c r="C206" s="22" t="n"/>
      <x:c r="D206" s="22" t="n"/>
      <x:c r="E206" s="22" t="n"/>
      <x:c r="F206" s="23" t="n"/>
      <x:c r="G206" s="23" t="n"/>
      <x:c r="H206" s="24">
        <x:f>IF(OR(ISBLANK(F206),ISBLANK(G206)),"",G206-F206)</x:f>
      </x:c>
      <x:c r="I206" s="25" t="n"/>
      <x:c r="J206" s="25" t="n"/>
      <x:c r="K206" s="25" t="n"/>
      <x:c r="L206" s="22" t="n"/>
      <x:c r="M206" s="22" t="n"/>
      <x:c r="N206" s="22" t="n"/>
      <x:c r="O206" s="22" t="n"/>
      <x:c r="P206" s="25" t="n"/>
      <x:c r="Q206" s="25" t="n"/>
      <x:c r="R206" s="25" t="n"/>
      <x:c r="S206" s="22" t="n"/>
      <x:c r="T206" s="23" t="n"/>
      <x:c r="U206" s="25" t="n"/>
      <x:c r="V206" s="25" t="n"/>
      <x:c r="W206" s="25">
        <x:f>IF(OR(AND(OR(O206="DELIVERED",O206="PARTIAL"),J206&lt;&gt;TRUE),AND(OR(E206="CASH",E206="DAY CHEQUE",E206="POST DATED CHQ"),I206&lt;&gt;TRUE),AND(OR(E206="CASH",E206="DAY CHEQUE",E206="POST DATED CHQ"),K206&lt;&gt;TRUE),AND(E206="POST DATED CHQ",ISBLANK(M206)),P206=TRUE,Q206=TRUE,AND(R206=TRUE,OR(ISBLANK(S206),ISBLANK(T206))),AND(E206="ONLINE",V206&lt;&gt;TRUE),AND(I206=TRUE,U206&lt;&gt;TRUE)),TRUE,FALSE)</x:f>
      </x:c>
      <x:c r="X206" s="22" t="n"/>
    </x:row>
    <x:row r="207">
      <x:c r="A207" s="22" t="n"/>
      <x:c r="B207" s="22" t="n"/>
      <x:c r="C207" s="22" t="n"/>
      <x:c r="D207" s="22" t="n"/>
      <x:c r="E207" s="22" t="n"/>
      <x:c r="F207" s="23" t="n"/>
      <x:c r="G207" s="23" t="n"/>
      <x:c r="H207" s="24">
        <x:f>IF(OR(ISBLANK(F207),ISBLANK(G207)),"",G207-F207)</x:f>
      </x:c>
      <x:c r="I207" s="25" t="n"/>
      <x:c r="J207" s="25" t="n"/>
      <x:c r="K207" s="25" t="n"/>
      <x:c r="L207" s="22" t="n"/>
      <x:c r="M207" s="22" t="n"/>
      <x:c r="N207" s="22" t="n"/>
      <x:c r="O207" s="22" t="n"/>
      <x:c r="P207" s="25" t="n"/>
      <x:c r="Q207" s="25" t="n"/>
      <x:c r="R207" s="25" t="n"/>
      <x:c r="S207" s="22" t="n"/>
      <x:c r="T207" s="23" t="n"/>
      <x:c r="U207" s="25" t="n"/>
      <x:c r="V207" s="25" t="n"/>
      <x:c r="W207" s="25">
        <x:f>IF(OR(AND(OR(O207="DELIVERED",O207="PARTIAL"),J207&lt;&gt;TRUE),AND(OR(E207="CASH",E207="DAY CHEQUE",E207="POST DATED CHQ"),I207&lt;&gt;TRUE),AND(OR(E207="CASH",E207="DAY CHEQUE",E207="POST DATED CHQ"),K207&lt;&gt;TRUE),AND(E207="POST DATED CHQ",ISBLANK(M207)),P207=TRUE,Q207=TRUE,AND(R207=TRUE,OR(ISBLANK(S207),ISBLANK(T207))),AND(E207="ONLINE",V207&lt;&gt;TRUE),AND(I207=TRUE,U207&lt;&gt;TRUE)),TRUE,FALSE)</x:f>
      </x:c>
      <x:c r="X207" s="22" t="n"/>
    </x:row>
    <x:row r="208">
      <x:c r="A208" s="22" t="n"/>
      <x:c r="B208" s="22" t="n"/>
      <x:c r="C208" s="22" t="n"/>
      <x:c r="D208" s="22" t="n"/>
      <x:c r="E208" s="22" t="n"/>
      <x:c r="F208" s="23" t="n"/>
      <x:c r="G208" s="23" t="n"/>
      <x:c r="H208" s="24">
        <x:f>IF(OR(ISBLANK(F208),ISBLANK(G208)),"",G208-F208)</x:f>
      </x:c>
      <x:c r="I208" s="25" t="n"/>
      <x:c r="J208" s="25" t="n"/>
      <x:c r="K208" s="25" t="n"/>
      <x:c r="L208" s="22" t="n"/>
      <x:c r="M208" s="22" t="n"/>
      <x:c r="N208" s="22" t="n"/>
      <x:c r="O208" s="22" t="n"/>
      <x:c r="P208" s="25" t="n"/>
      <x:c r="Q208" s="25" t="n"/>
      <x:c r="R208" s="25" t="n"/>
      <x:c r="S208" s="22" t="n"/>
      <x:c r="T208" s="23" t="n"/>
      <x:c r="U208" s="25" t="n"/>
      <x:c r="V208" s="25" t="n"/>
      <x:c r="W208" s="25">
        <x:f>IF(OR(AND(OR(O208="DELIVERED",O208="PARTIAL"),J208&lt;&gt;TRUE),AND(OR(E208="CASH",E208="DAY CHEQUE",E208="POST DATED CHQ"),I208&lt;&gt;TRUE),AND(OR(E208="CASH",E208="DAY CHEQUE",E208="POST DATED CHQ"),K208&lt;&gt;TRUE),AND(E208="POST DATED CHQ",ISBLANK(M208)),P208=TRUE,Q208=TRUE,AND(R208=TRUE,OR(ISBLANK(S208),ISBLANK(T208))),AND(E208="ONLINE",V208&lt;&gt;TRUE),AND(I208=TRUE,U208&lt;&gt;TRUE)),TRUE,FALSE)</x:f>
      </x:c>
      <x:c r="X208" s="22" t="n"/>
    </x:row>
    <x:row r="209">
      <x:c r="A209" s="22" t="n"/>
      <x:c r="B209" s="22" t="n"/>
      <x:c r="C209" s="22" t="n"/>
      <x:c r="D209" s="22" t="n"/>
      <x:c r="E209" s="22" t="n"/>
      <x:c r="F209" s="23" t="n"/>
      <x:c r="G209" s="23" t="n"/>
      <x:c r="H209" s="24">
        <x:f>IF(OR(ISBLANK(F209),ISBLANK(G209)),"",G209-F209)</x:f>
      </x:c>
      <x:c r="I209" s="25" t="n"/>
      <x:c r="J209" s="25" t="n"/>
      <x:c r="K209" s="25" t="n"/>
      <x:c r="L209" s="22" t="n"/>
      <x:c r="M209" s="22" t="n"/>
      <x:c r="N209" s="22" t="n"/>
      <x:c r="O209" s="22" t="n"/>
      <x:c r="P209" s="25" t="n"/>
      <x:c r="Q209" s="25" t="n"/>
      <x:c r="R209" s="25" t="n"/>
      <x:c r="S209" s="22" t="n"/>
      <x:c r="T209" s="23" t="n"/>
      <x:c r="U209" s="25" t="n"/>
      <x:c r="V209" s="25" t="n"/>
      <x:c r="W209" s="25">
        <x:f>IF(OR(AND(OR(O209="DELIVERED",O209="PARTIAL"),J209&lt;&gt;TRUE),AND(OR(E209="CASH",E209="DAY CHEQUE",E209="POST DATED CHQ"),I209&lt;&gt;TRUE),AND(OR(E209="CASH",E209="DAY CHEQUE",E209="POST DATED CHQ"),K209&lt;&gt;TRUE),AND(E209="POST DATED CHQ",ISBLANK(M209)),P209=TRUE,Q209=TRUE,AND(R209=TRUE,OR(ISBLANK(S209),ISBLANK(T209))),AND(E209="ONLINE",V209&lt;&gt;TRUE),AND(I209=TRUE,U209&lt;&gt;TRUE)),TRUE,FALSE)</x:f>
      </x:c>
      <x:c r="X209" s="22" t="n"/>
    </x:row>
    <x:row r="210">
      <x:c r="A210" s="22" t="n"/>
      <x:c r="B210" s="22" t="n"/>
      <x:c r="C210" s="22" t="n"/>
      <x:c r="D210" s="22" t="n"/>
      <x:c r="E210" s="22" t="n"/>
      <x:c r="F210" s="23" t="n"/>
      <x:c r="G210" s="23" t="n"/>
      <x:c r="H210" s="24">
        <x:f>IF(OR(ISBLANK(F210),ISBLANK(G210)),"",G210-F210)</x:f>
      </x:c>
      <x:c r="I210" s="25" t="n"/>
      <x:c r="J210" s="25" t="n"/>
      <x:c r="K210" s="25" t="n"/>
      <x:c r="L210" s="22" t="n"/>
      <x:c r="M210" s="22" t="n"/>
      <x:c r="N210" s="22" t="n"/>
      <x:c r="O210" s="22" t="n"/>
      <x:c r="P210" s="25" t="n"/>
      <x:c r="Q210" s="25" t="n"/>
      <x:c r="R210" s="25" t="n"/>
      <x:c r="S210" s="22" t="n"/>
      <x:c r="T210" s="23" t="n"/>
      <x:c r="U210" s="25" t="n"/>
      <x:c r="V210" s="25" t="n"/>
      <x:c r="W210" s="25">
        <x:f>IF(OR(AND(OR(O210="DELIVERED",O210="PARTIAL"),J210&lt;&gt;TRUE),AND(OR(E210="CASH",E210="DAY CHEQUE",E210="POST DATED CHQ"),I210&lt;&gt;TRUE),AND(OR(E210="CASH",E210="DAY CHEQUE",E210="POST DATED CHQ"),K210&lt;&gt;TRUE),AND(E210="POST DATED CHQ",ISBLANK(M210)),P210=TRUE,Q210=TRUE,AND(R210=TRUE,OR(ISBLANK(S210),ISBLANK(T210))),AND(E210="ONLINE",V210&lt;&gt;TRUE),AND(I210=TRUE,U210&lt;&gt;TRUE)),TRUE,FALSE)</x:f>
      </x:c>
      <x:c r="X210" s="22" t="n"/>
    </x:row>
    <x:row r="211">
      <x:c r="A211" s="22" t="n"/>
      <x:c r="B211" s="22" t="n"/>
      <x:c r="C211" s="22" t="n"/>
      <x:c r="D211" s="22" t="n"/>
      <x:c r="E211" s="22" t="n"/>
      <x:c r="F211" s="23" t="n"/>
      <x:c r="G211" s="23" t="n"/>
      <x:c r="H211" s="24">
        <x:f>IF(OR(ISBLANK(F211),ISBLANK(G211)),"",G211-F211)</x:f>
      </x:c>
      <x:c r="I211" s="25" t="n"/>
      <x:c r="J211" s="25" t="n"/>
      <x:c r="K211" s="25" t="n"/>
      <x:c r="L211" s="22" t="n"/>
      <x:c r="M211" s="22" t="n"/>
      <x:c r="N211" s="22" t="n"/>
      <x:c r="O211" s="22" t="n"/>
      <x:c r="P211" s="25" t="n"/>
      <x:c r="Q211" s="25" t="n"/>
      <x:c r="R211" s="25" t="n"/>
      <x:c r="S211" s="22" t="n"/>
      <x:c r="T211" s="23" t="n"/>
      <x:c r="U211" s="25" t="n"/>
      <x:c r="V211" s="25" t="n"/>
      <x:c r="W211" s="25">
        <x:f>IF(OR(AND(OR(O211="DELIVERED",O211="PARTIAL"),J211&lt;&gt;TRUE),AND(OR(E211="CASH",E211="DAY CHEQUE",E211="POST DATED CHQ"),I211&lt;&gt;TRUE),AND(OR(E211="CASH",E211="DAY CHEQUE",E211="POST DATED CHQ"),K211&lt;&gt;TRUE),AND(E211="POST DATED CHQ",ISBLANK(M211)),P211=TRUE,Q211=TRUE,AND(R211=TRUE,OR(ISBLANK(S211),ISBLANK(T211))),AND(E211="ONLINE",V211&lt;&gt;TRUE),AND(I211=TRUE,U211&lt;&gt;TRUE)),TRUE,FALSE)</x:f>
      </x:c>
      <x:c r="X211" s="22" t="n"/>
    </x:row>
    <x:row r="212">
      <x:c r="A212" s="22" t="n"/>
      <x:c r="B212" s="22" t="n"/>
      <x:c r="C212" s="22" t="n"/>
      <x:c r="D212" s="22" t="n"/>
      <x:c r="E212" s="22" t="n"/>
      <x:c r="F212" s="23" t="n"/>
      <x:c r="G212" s="23" t="n"/>
      <x:c r="H212" s="24">
        <x:f>IF(OR(ISBLANK(F212),ISBLANK(G212)),"",G212-F212)</x:f>
      </x:c>
      <x:c r="I212" s="25" t="n"/>
      <x:c r="J212" s="25" t="n"/>
      <x:c r="K212" s="25" t="n"/>
      <x:c r="L212" s="22" t="n"/>
      <x:c r="M212" s="22" t="n"/>
      <x:c r="N212" s="22" t="n"/>
      <x:c r="O212" s="22" t="n"/>
      <x:c r="P212" s="25" t="n"/>
      <x:c r="Q212" s="25" t="n"/>
      <x:c r="R212" s="25" t="n"/>
      <x:c r="S212" s="22" t="n"/>
      <x:c r="T212" s="23" t="n"/>
      <x:c r="U212" s="25" t="n"/>
      <x:c r="V212" s="25" t="n"/>
      <x:c r="W212" s="25">
        <x:f>IF(OR(AND(OR(O212="DELIVERED",O212="PARTIAL"),J212&lt;&gt;TRUE),AND(OR(E212="CASH",E212="DAY CHEQUE",E212="POST DATED CHQ"),I212&lt;&gt;TRUE),AND(OR(E212="CASH",E212="DAY CHEQUE",E212="POST DATED CHQ"),K212&lt;&gt;TRUE),AND(E212="POST DATED CHQ",ISBLANK(M212)),P212=TRUE,Q212=TRUE,AND(R212=TRUE,OR(ISBLANK(S212),ISBLANK(T212))),AND(E212="ONLINE",V212&lt;&gt;TRUE),AND(I212=TRUE,U212&lt;&gt;TRUE)),TRUE,FALSE)</x:f>
      </x:c>
      <x:c r="X212" s="22" t="n"/>
    </x:row>
    <x:row r="213">
      <x:c r="A213" s="22" t="n"/>
      <x:c r="B213" s="22" t="n"/>
      <x:c r="C213" s="22" t="n"/>
      <x:c r="D213" s="22" t="n"/>
      <x:c r="E213" s="22" t="n"/>
      <x:c r="F213" s="23" t="n"/>
      <x:c r="G213" s="23" t="n"/>
      <x:c r="H213" s="24">
        <x:f>IF(OR(ISBLANK(F213),ISBLANK(G213)),"",G213-F213)</x:f>
      </x:c>
      <x:c r="I213" s="25" t="n"/>
      <x:c r="J213" s="25" t="n"/>
      <x:c r="K213" s="25" t="n"/>
      <x:c r="L213" s="22" t="n"/>
      <x:c r="M213" s="22" t="n"/>
      <x:c r="N213" s="22" t="n"/>
      <x:c r="O213" s="22" t="n"/>
      <x:c r="P213" s="25" t="n"/>
      <x:c r="Q213" s="25" t="n"/>
      <x:c r="R213" s="25" t="n"/>
      <x:c r="S213" s="22" t="n"/>
      <x:c r="T213" s="23" t="n"/>
      <x:c r="U213" s="25" t="n"/>
      <x:c r="V213" s="25" t="n"/>
      <x:c r="W213" s="25">
        <x:f>IF(OR(AND(OR(O213="DELIVERED",O213="PARTIAL"),J213&lt;&gt;TRUE),AND(OR(E213="CASH",E213="DAY CHEQUE",E213="POST DATED CHQ"),I213&lt;&gt;TRUE),AND(OR(E213="CASH",E213="DAY CHEQUE",E213="POST DATED CHQ"),K213&lt;&gt;TRUE),AND(E213="POST DATED CHQ",ISBLANK(M213)),P213=TRUE,Q213=TRUE,AND(R213=TRUE,OR(ISBLANK(S213),ISBLANK(T213))),AND(E213="ONLINE",V213&lt;&gt;TRUE),AND(I213=TRUE,U213&lt;&gt;TRUE)),TRUE,FALSE)</x:f>
      </x:c>
      <x:c r="X213" s="22" t="n"/>
    </x:row>
    <x:row r="214">
      <x:c r="A214" s="22" t="n"/>
      <x:c r="B214" s="22" t="n"/>
      <x:c r="C214" s="22" t="n"/>
      <x:c r="D214" s="22" t="n"/>
      <x:c r="E214" s="22" t="n"/>
      <x:c r="F214" s="23" t="n"/>
      <x:c r="G214" s="23" t="n"/>
      <x:c r="H214" s="24">
        <x:f>IF(OR(ISBLANK(F214),ISBLANK(G214)),"",G214-F214)</x:f>
      </x:c>
      <x:c r="I214" s="25" t="n"/>
      <x:c r="J214" s="25" t="n"/>
      <x:c r="K214" s="25" t="n"/>
      <x:c r="L214" s="22" t="n"/>
      <x:c r="M214" s="22" t="n"/>
      <x:c r="N214" s="22" t="n"/>
      <x:c r="O214" s="22" t="n"/>
      <x:c r="P214" s="25" t="n"/>
      <x:c r="Q214" s="25" t="n"/>
      <x:c r="R214" s="25" t="n"/>
      <x:c r="S214" s="22" t="n"/>
      <x:c r="T214" s="23" t="n"/>
      <x:c r="U214" s="25" t="n"/>
      <x:c r="V214" s="25" t="n"/>
      <x:c r="W214" s="25">
        <x:f>IF(OR(AND(OR(O214="DELIVERED",O214="PARTIAL"),J214&lt;&gt;TRUE),AND(OR(E214="CASH",E214="DAY CHEQUE",E214="POST DATED CHQ"),I214&lt;&gt;TRUE),AND(OR(E214="CASH",E214="DAY CHEQUE",E214="POST DATED CHQ"),K214&lt;&gt;TRUE),AND(E214="POST DATED CHQ",ISBLANK(M214)),P214=TRUE,Q214=TRUE,AND(R214=TRUE,OR(ISBLANK(S214),ISBLANK(T214))),AND(E214="ONLINE",V214&lt;&gt;TRUE),AND(I214=TRUE,U214&lt;&gt;TRUE)),TRUE,FALSE)</x:f>
      </x:c>
      <x:c r="X214" s="22" t="n"/>
    </x:row>
    <x:row r="215">
      <x:c r="A215" s="22" t="n"/>
      <x:c r="B215" s="22" t="n"/>
      <x:c r="C215" s="22" t="n"/>
      <x:c r="D215" s="22" t="n"/>
      <x:c r="E215" s="22" t="n"/>
      <x:c r="F215" s="23" t="n"/>
      <x:c r="G215" s="23" t="n"/>
      <x:c r="H215" s="24">
        <x:f>IF(OR(ISBLANK(F215),ISBLANK(G215)),"",G215-F215)</x:f>
      </x:c>
      <x:c r="I215" s="25" t="n"/>
      <x:c r="J215" s="25" t="n"/>
      <x:c r="K215" s="25" t="n"/>
      <x:c r="L215" s="22" t="n"/>
      <x:c r="M215" s="22" t="n"/>
      <x:c r="N215" s="22" t="n"/>
      <x:c r="O215" s="22" t="n"/>
      <x:c r="P215" s="25" t="n"/>
      <x:c r="Q215" s="25" t="n"/>
      <x:c r="R215" s="25" t="n"/>
      <x:c r="S215" s="22" t="n"/>
      <x:c r="T215" s="23" t="n"/>
      <x:c r="U215" s="25" t="n"/>
      <x:c r="V215" s="25" t="n"/>
      <x:c r="W215" s="25">
        <x:f>IF(OR(AND(OR(O215="DELIVERED",O215="PARTIAL"),J215&lt;&gt;TRUE),AND(OR(E215="CASH",E215="DAY CHEQUE",E215="POST DATED CHQ"),I215&lt;&gt;TRUE),AND(OR(E215="CASH",E215="DAY CHEQUE",E215="POST DATED CHQ"),K215&lt;&gt;TRUE),AND(E215="POST DATED CHQ",ISBLANK(M215)),P215=TRUE,Q215=TRUE,AND(R215=TRUE,OR(ISBLANK(S215),ISBLANK(T215))),AND(E215="ONLINE",V215&lt;&gt;TRUE),AND(I215=TRUE,U215&lt;&gt;TRUE)),TRUE,FALSE)</x:f>
      </x:c>
      <x:c r="X215" s="22" t="n"/>
    </x:row>
    <x:row r="216">
      <x:c r="A216" s="22" t="n"/>
      <x:c r="B216" s="22" t="n"/>
      <x:c r="C216" s="22" t="n"/>
      <x:c r="D216" s="22" t="n"/>
      <x:c r="E216" s="22" t="n"/>
      <x:c r="F216" s="23" t="n"/>
      <x:c r="G216" s="23" t="n"/>
      <x:c r="H216" s="24">
        <x:f>IF(OR(ISBLANK(F216),ISBLANK(G216)),"",G216-F216)</x:f>
      </x:c>
      <x:c r="I216" s="25" t="n"/>
      <x:c r="J216" s="25" t="n"/>
      <x:c r="K216" s="25" t="n"/>
      <x:c r="L216" s="22" t="n"/>
      <x:c r="M216" s="22" t="n"/>
      <x:c r="N216" s="22" t="n"/>
      <x:c r="O216" s="22" t="n"/>
      <x:c r="P216" s="25" t="n"/>
      <x:c r="Q216" s="25" t="n"/>
      <x:c r="R216" s="25" t="n"/>
      <x:c r="S216" s="22" t="n"/>
      <x:c r="T216" s="23" t="n"/>
      <x:c r="U216" s="25" t="n"/>
      <x:c r="V216" s="25" t="n"/>
      <x:c r="W216" s="25">
        <x:f>IF(OR(AND(OR(O216="DELIVERED",O216="PARTIAL"),J216&lt;&gt;TRUE),AND(OR(E216="CASH",E216="DAY CHEQUE",E216="POST DATED CHQ"),I216&lt;&gt;TRUE),AND(OR(E216="CASH",E216="DAY CHEQUE",E216="POST DATED CHQ"),K216&lt;&gt;TRUE),AND(E216="POST DATED CHQ",ISBLANK(M216)),P216=TRUE,Q216=TRUE,AND(R216=TRUE,OR(ISBLANK(S216),ISBLANK(T216))),AND(E216="ONLINE",V216&lt;&gt;TRUE),AND(I216=TRUE,U216&lt;&gt;TRUE)),TRUE,FALSE)</x:f>
      </x:c>
      <x:c r="X216" s="22" t="n"/>
    </x:row>
    <x:row r="217">
      <x:c r="A217" s="22" t="n"/>
      <x:c r="B217" s="22" t="n"/>
      <x:c r="C217" s="22" t="n"/>
      <x:c r="D217" s="22" t="n"/>
      <x:c r="E217" s="22" t="n"/>
      <x:c r="F217" s="23" t="n"/>
      <x:c r="G217" s="23" t="n"/>
      <x:c r="H217" s="24">
        <x:f>IF(OR(ISBLANK(F217),ISBLANK(G217)),"",G217-F217)</x:f>
      </x:c>
      <x:c r="I217" s="25" t="n"/>
      <x:c r="J217" s="25" t="n"/>
      <x:c r="K217" s="25" t="n"/>
      <x:c r="L217" s="22" t="n"/>
      <x:c r="M217" s="22" t="n"/>
      <x:c r="N217" s="22" t="n"/>
      <x:c r="O217" s="22" t="n"/>
      <x:c r="P217" s="25" t="n"/>
      <x:c r="Q217" s="25" t="n"/>
      <x:c r="R217" s="25" t="n"/>
      <x:c r="S217" s="22" t="n"/>
      <x:c r="T217" s="23" t="n"/>
      <x:c r="U217" s="25" t="n"/>
      <x:c r="V217" s="25" t="n"/>
      <x:c r="W217" s="25">
        <x:f>IF(OR(AND(OR(O217="DELIVERED",O217="PARTIAL"),J217&lt;&gt;TRUE),AND(OR(E217="CASH",E217="DAY CHEQUE",E217="POST DATED CHQ"),I217&lt;&gt;TRUE),AND(OR(E217="CASH",E217="DAY CHEQUE",E217="POST DATED CHQ"),K217&lt;&gt;TRUE),AND(E217="POST DATED CHQ",ISBLANK(M217)),P217=TRUE,Q217=TRUE,AND(R217=TRUE,OR(ISBLANK(S217),ISBLANK(T217))),AND(E217="ONLINE",V217&lt;&gt;TRUE),AND(I217=TRUE,U217&lt;&gt;TRUE)),TRUE,FALSE)</x:f>
      </x:c>
      <x:c r="X217" s="22" t="n"/>
    </x:row>
    <x:row r="218">
      <x:c r="A218" s="22" t="n"/>
      <x:c r="B218" s="22" t="n"/>
      <x:c r="C218" s="22" t="n"/>
      <x:c r="D218" s="22" t="n"/>
      <x:c r="E218" s="22" t="n"/>
      <x:c r="F218" s="23" t="n"/>
      <x:c r="G218" s="23" t="n"/>
      <x:c r="H218" s="24">
        <x:f>IF(OR(ISBLANK(F218),ISBLANK(G218)),"",G218-F218)</x:f>
      </x:c>
      <x:c r="I218" s="25" t="n"/>
      <x:c r="J218" s="25" t="n"/>
      <x:c r="K218" s="25" t="n"/>
      <x:c r="L218" s="22" t="n"/>
      <x:c r="M218" s="22" t="n"/>
      <x:c r="N218" s="22" t="n"/>
      <x:c r="O218" s="22" t="n"/>
      <x:c r="P218" s="25" t="n"/>
      <x:c r="Q218" s="25" t="n"/>
      <x:c r="R218" s="25" t="n"/>
      <x:c r="S218" s="22" t="n"/>
      <x:c r="T218" s="23" t="n"/>
      <x:c r="U218" s="25" t="n"/>
      <x:c r="V218" s="25" t="n"/>
      <x:c r="W218" s="25">
        <x:f>IF(OR(AND(OR(O218="DELIVERED",O218="PARTIAL"),J218&lt;&gt;TRUE),AND(OR(E218="CASH",E218="DAY CHEQUE",E218="POST DATED CHQ"),I218&lt;&gt;TRUE),AND(OR(E218="CASH",E218="DAY CHEQUE",E218="POST DATED CHQ"),K218&lt;&gt;TRUE),AND(E218="POST DATED CHQ",ISBLANK(M218)),P218=TRUE,Q218=TRUE,AND(R218=TRUE,OR(ISBLANK(S218),ISBLANK(T218))),AND(E218="ONLINE",V218&lt;&gt;TRUE),AND(I218=TRUE,U218&lt;&gt;TRUE)),TRUE,FALSE)</x:f>
      </x:c>
      <x:c r="X218" s="22" t="n"/>
    </x:row>
    <x:row r="219">
      <x:c r="A219" s="22" t="n"/>
      <x:c r="B219" s="22" t="n"/>
      <x:c r="C219" s="22" t="n"/>
      <x:c r="D219" s="22" t="n"/>
      <x:c r="E219" s="22" t="n"/>
      <x:c r="F219" s="23" t="n"/>
      <x:c r="G219" s="23" t="n"/>
      <x:c r="H219" s="24">
        <x:f>IF(OR(ISBLANK(F219),ISBLANK(G219)),"",G219-F219)</x:f>
      </x:c>
      <x:c r="I219" s="25" t="n"/>
      <x:c r="J219" s="25" t="n"/>
      <x:c r="K219" s="25" t="n"/>
      <x:c r="L219" s="22" t="n"/>
      <x:c r="M219" s="22" t="n"/>
      <x:c r="N219" s="22" t="n"/>
      <x:c r="O219" s="22" t="n"/>
      <x:c r="P219" s="25" t="n"/>
      <x:c r="Q219" s="25" t="n"/>
      <x:c r="R219" s="25" t="n"/>
      <x:c r="S219" s="22" t="n"/>
      <x:c r="T219" s="23" t="n"/>
      <x:c r="U219" s="25" t="n"/>
      <x:c r="V219" s="25" t="n"/>
      <x:c r="W219" s="25">
        <x:f>IF(OR(AND(OR(O219="DELIVERED",O219="PARTIAL"),J219&lt;&gt;TRUE),AND(OR(E219="CASH",E219="DAY CHEQUE",E219="POST DATED CHQ"),I219&lt;&gt;TRUE),AND(OR(E219="CASH",E219="DAY CHEQUE",E219="POST DATED CHQ"),K219&lt;&gt;TRUE),AND(E219="POST DATED CHQ",ISBLANK(M219)),P219=TRUE,Q219=TRUE,AND(R219=TRUE,OR(ISBLANK(S219),ISBLANK(T219))),AND(E219="ONLINE",V219&lt;&gt;TRUE),AND(I219=TRUE,U219&lt;&gt;TRUE)),TRUE,FALSE)</x:f>
      </x:c>
      <x:c r="X219" s="22" t="n"/>
    </x:row>
    <x:row r="220">
      <x:c r="A220" s="22" t="n"/>
      <x:c r="B220" s="22" t="n"/>
      <x:c r="C220" s="22" t="n"/>
      <x:c r="D220" s="22" t="n"/>
      <x:c r="E220" s="22" t="n"/>
      <x:c r="F220" s="23" t="n"/>
      <x:c r="G220" s="23" t="n"/>
      <x:c r="H220" s="24">
        <x:f>IF(OR(ISBLANK(F220),ISBLANK(G220)),"",G220-F220)</x:f>
      </x:c>
      <x:c r="I220" s="25" t="n"/>
      <x:c r="J220" s="25" t="n"/>
      <x:c r="K220" s="25" t="n"/>
      <x:c r="L220" s="22" t="n"/>
      <x:c r="M220" s="22" t="n"/>
      <x:c r="N220" s="22" t="n"/>
      <x:c r="O220" s="22" t="n"/>
      <x:c r="P220" s="25" t="n"/>
      <x:c r="Q220" s="25" t="n"/>
      <x:c r="R220" s="25" t="n"/>
      <x:c r="S220" s="22" t="n"/>
      <x:c r="T220" s="23" t="n"/>
      <x:c r="U220" s="25" t="n"/>
      <x:c r="V220" s="25" t="n"/>
      <x:c r="W220" s="25">
        <x:f>IF(OR(AND(OR(O220="DELIVERED",O220="PARTIAL"),J220&lt;&gt;TRUE),AND(OR(E220="CASH",E220="DAY CHEQUE",E220="POST DATED CHQ"),I220&lt;&gt;TRUE),AND(OR(E220="CASH",E220="DAY CHEQUE",E220="POST DATED CHQ"),K220&lt;&gt;TRUE),AND(E220="POST DATED CHQ",ISBLANK(M220)),P220=TRUE,Q220=TRUE,AND(R220=TRUE,OR(ISBLANK(S220),ISBLANK(T220))),AND(E220="ONLINE",V220&lt;&gt;TRUE),AND(I220=TRUE,U220&lt;&gt;TRUE)),TRUE,FALSE)</x:f>
      </x:c>
      <x:c r="X220" s="22" t="n"/>
    </x:row>
    <x:row r="221">
      <x:c r="A221" s="22" t="n"/>
      <x:c r="B221" s="22" t="n"/>
      <x:c r="C221" s="22" t="n"/>
      <x:c r="D221" s="22" t="n"/>
      <x:c r="E221" s="22" t="n"/>
      <x:c r="F221" s="23" t="n"/>
      <x:c r="G221" s="23" t="n"/>
      <x:c r="H221" s="24">
        <x:f>IF(OR(ISBLANK(F221),ISBLANK(G221)),"",G221-F221)</x:f>
      </x:c>
      <x:c r="I221" s="25" t="n"/>
      <x:c r="J221" s="25" t="n"/>
      <x:c r="K221" s="25" t="n"/>
      <x:c r="L221" s="22" t="n"/>
      <x:c r="M221" s="22" t="n"/>
      <x:c r="N221" s="22" t="n"/>
      <x:c r="O221" s="22" t="n"/>
      <x:c r="P221" s="25" t="n"/>
      <x:c r="Q221" s="25" t="n"/>
      <x:c r="R221" s="25" t="n"/>
      <x:c r="S221" s="22" t="n"/>
      <x:c r="T221" s="23" t="n"/>
      <x:c r="U221" s="25" t="n"/>
      <x:c r="V221" s="25" t="n"/>
      <x:c r="W221" s="25">
        <x:f>IF(OR(AND(OR(O221="DELIVERED",O221="PARTIAL"),J221&lt;&gt;TRUE),AND(OR(E221="CASH",E221="DAY CHEQUE",E221="POST DATED CHQ"),I221&lt;&gt;TRUE),AND(OR(E221="CASH",E221="DAY CHEQUE",E221="POST DATED CHQ"),K221&lt;&gt;TRUE),AND(E221="POST DATED CHQ",ISBLANK(M221)),P221=TRUE,Q221=TRUE,AND(R221=TRUE,OR(ISBLANK(S221),ISBLANK(T221))),AND(E221="ONLINE",V221&lt;&gt;TRUE),AND(I221=TRUE,U221&lt;&gt;TRUE)),TRUE,FALSE)</x:f>
      </x:c>
      <x:c r="X221" s="22" t="n"/>
    </x:row>
    <x:row r="222">
      <x:c r="A222" s="22" t="n"/>
      <x:c r="B222" s="22" t="n"/>
      <x:c r="C222" s="22" t="n"/>
      <x:c r="D222" s="22" t="n"/>
      <x:c r="E222" s="22" t="n"/>
      <x:c r="F222" s="23" t="n"/>
      <x:c r="G222" s="23" t="n"/>
      <x:c r="H222" s="24">
        <x:f>IF(OR(ISBLANK(F222),ISBLANK(G222)),"",G222-F222)</x:f>
      </x:c>
      <x:c r="I222" s="25" t="n"/>
      <x:c r="J222" s="25" t="n"/>
      <x:c r="K222" s="25" t="n"/>
      <x:c r="L222" s="22" t="n"/>
      <x:c r="M222" s="22" t="n"/>
      <x:c r="N222" s="22" t="n"/>
      <x:c r="O222" s="22" t="n"/>
      <x:c r="P222" s="25" t="n"/>
      <x:c r="Q222" s="25" t="n"/>
      <x:c r="R222" s="25" t="n"/>
      <x:c r="S222" s="22" t="n"/>
      <x:c r="T222" s="23" t="n"/>
      <x:c r="U222" s="25" t="n"/>
      <x:c r="V222" s="25" t="n"/>
      <x:c r="W222" s="25">
        <x:f>IF(OR(AND(OR(O222="DELIVERED",O222="PARTIAL"),J222&lt;&gt;TRUE),AND(OR(E222="CASH",E222="DAY CHEQUE",E222="POST DATED CHQ"),I222&lt;&gt;TRUE),AND(OR(E222="CASH",E222="DAY CHEQUE",E222="POST DATED CHQ"),K222&lt;&gt;TRUE),AND(E222="POST DATED CHQ",ISBLANK(M222)),P222=TRUE,Q222=TRUE,AND(R222=TRUE,OR(ISBLANK(S222),ISBLANK(T222))),AND(E222="ONLINE",V222&lt;&gt;TRUE),AND(I222=TRUE,U222&lt;&gt;TRUE)),TRUE,FALSE)</x:f>
      </x:c>
      <x:c r="X222" s="22" t="n"/>
    </x:row>
    <x:row r="223">
      <x:c r="A223" s="22" t="n"/>
      <x:c r="B223" s="22" t="n"/>
      <x:c r="C223" s="22" t="n"/>
      <x:c r="D223" s="22" t="n"/>
      <x:c r="E223" s="22" t="n"/>
      <x:c r="F223" s="23" t="n"/>
      <x:c r="G223" s="23" t="n"/>
      <x:c r="H223" s="24">
        <x:f>IF(OR(ISBLANK(F223),ISBLANK(G223)),"",G223-F223)</x:f>
      </x:c>
      <x:c r="I223" s="25" t="n"/>
      <x:c r="J223" s="25" t="n"/>
      <x:c r="K223" s="25" t="n"/>
      <x:c r="L223" s="22" t="n"/>
      <x:c r="M223" s="22" t="n"/>
      <x:c r="N223" s="22" t="n"/>
      <x:c r="O223" s="22" t="n"/>
      <x:c r="P223" s="25" t="n"/>
      <x:c r="Q223" s="25" t="n"/>
      <x:c r="R223" s="25" t="n"/>
      <x:c r="S223" s="22" t="n"/>
      <x:c r="T223" s="23" t="n"/>
      <x:c r="U223" s="25" t="n"/>
      <x:c r="V223" s="25" t="n"/>
      <x:c r="W223" s="25">
        <x:f>IF(OR(AND(OR(O223="DELIVERED",O223="PARTIAL"),J223&lt;&gt;TRUE),AND(OR(E223="CASH",E223="DAY CHEQUE",E223="POST DATED CHQ"),I223&lt;&gt;TRUE),AND(OR(E223="CASH",E223="DAY CHEQUE",E223="POST DATED CHQ"),K223&lt;&gt;TRUE),AND(E223="POST DATED CHQ",ISBLANK(M223)),P223=TRUE,Q223=TRUE,AND(R223=TRUE,OR(ISBLANK(S223),ISBLANK(T223))),AND(E223="ONLINE",V223&lt;&gt;TRUE),AND(I223=TRUE,U223&lt;&gt;TRUE)),TRUE,FALSE)</x:f>
      </x:c>
      <x:c r="X223" s="22" t="n"/>
    </x:row>
    <x:row r="224">
      <x:c r="A224" s="22" t="n"/>
      <x:c r="B224" s="22" t="n"/>
      <x:c r="C224" s="22" t="n"/>
      <x:c r="D224" s="22" t="n"/>
      <x:c r="E224" s="22" t="n"/>
      <x:c r="F224" s="23" t="n"/>
      <x:c r="G224" s="23" t="n"/>
      <x:c r="H224" s="24">
        <x:f>IF(OR(ISBLANK(F224),ISBLANK(G224)),"",G224-F224)</x:f>
      </x:c>
      <x:c r="I224" s="25" t="n"/>
      <x:c r="J224" s="25" t="n"/>
      <x:c r="K224" s="25" t="n"/>
      <x:c r="L224" s="22" t="n"/>
      <x:c r="M224" s="22" t="n"/>
      <x:c r="N224" s="22" t="n"/>
      <x:c r="O224" s="22" t="n"/>
      <x:c r="P224" s="25" t="n"/>
      <x:c r="Q224" s="25" t="n"/>
      <x:c r="R224" s="25" t="n"/>
      <x:c r="S224" s="22" t="n"/>
      <x:c r="T224" s="23" t="n"/>
      <x:c r="U224" s="25" t="n"/>
      <x:c r="V224" s="25" t="n"/>
      <x:c r="W224" s="25">
        <x:f>IF(OR(AND(OR(O224="DELIVERED",O224="PARTIAL"),J224&lt;&gt;TRUE),AND(OR(E224="CASH",E224="DAY CHEQUE",E224="POST DATED CHQ"),I224&lt;&gt;TRUE),AND(OR(E224="CASH",E224="DAY CHEQUE",E224="POST DATED CHQ"),K224&lt;&gt;TRUE),AND(E224="POST DATED CHQ",ISBLANK(M224)),P224=TRUE,Q224=TRUE,AND(R224=TRUE,OR(ISBLANK(S224),ISBLANK(T224))),AND(E224="ONLINE",V224&lt;&gt;TRUE),AND(I224=TRUE,U224&lt;&gt;TRUE)),TRUE,FALSE)</x:f>
      </x:c>
      <x:c r="X224" s="22" t="n"/>
    </x:row>
    <x:row r="225">
      <x:c r="A225" s="22" t="n"/>
      <x:c r="B225" s="22" t="n"/>
      <x:c r="C225" s="22" t="n"/>
      <x:c r="D225" s="22" t="n"/>
      <x:c r="E225" s="22" t="n"/>
      <x:c r="F225" s="23" t="n"/>
      <x:c r="G225" s="23" t="n"/>
      <x:c r="H225" s="24">
        <x:f>IF(OR(ISBLANK(F225),ISBLANK(G225)),"",G225-F225)</x:f>
      </x:c>
      <x:c r="I225" s="25" t="n"/>
      <x:c r="J225" s="25" t="n"/>
      <x:c r="K225" s="25" t="n"/>
      <x:c r="L225" s="22" t="n"/>
      <x:c r="M225" s="22" t="n"/>
      <x:c r="N225" s="22" t="n"/>
      <x:c r="O225" s="22" t="n"/>
      <x:c r="P225" s="25" t="n"/>
      <x:c r="Q225" s="25" t="n"/>
      <x:c r="R225" s="25" t="n"/>
      <x:c r="S225" s="22" t="n"/>
      <x:c r="T225" s="23" t="n"/>
      <x:c r="U225" s="25" t="n"/>
      <x:c r="V225" s="25" t="n"/>
      <x:c r="W225" s="25">
        <x:f>IF(OR(AND(OR(O225="DELIVERED",O225="PARTIAL"),J225&lt;&gt;TRUE),AND(OR(E225="CASH",E225="DAY CHEQUE",E225="POST DATED CHQ"),I225&lt;&gt;TRUE),AND(OR(E225="CASH",E225="DAY CHEQUE",E225="POST DATED CHQ"),K225&lt;&gt;TRUE),AND(E225="POST DATED CHQ",ISBLANK(M225)),P225=TRUE,Q225=TRUE,AND(R225=TRUE,OR(ISBLANK(S225),ISBLANK(T225))),AND(E225="ONLINE",V225&lt;&gt;TRUE),AND(I225=TRUE,U225&lt;&gt;TRUE)),TRUE,FALSE)</x:f>
      </x:c>
      <x:c r="X225" s="22" t="n"/>
    </x:row>
    <x:row r="226">
      <x:c r="A226" s="22" t="n"/>
      <x:c r="B226" s="22" t="n"/>
      <x:c r="C226" s="22" t="n"/>
      <x:c r="D226" s="22" t="n"/>
      <x:c r="E226" s="22" t="n"/>
      <x:c r="F226" s="23" t="n"/>
      <x:c r="G226" s="23" t="n"/>
      <x:c r="H226" s="24">
        <x:f>IF(OR(ISBLANK(F226),ISBLANK(G226)),"",G226-F226)</x:f>
      </x:c>
      <x:c r="I226" s="25" t="n"/>
      <x:c r="J226" s="25" t="n"/>
      <x:c r="K226" s="25" t="n"/>
      <x:c r="L226" s="22" t="n"/>
      <x:c r="M226" s="22" t="n"/>
      <x:c r="N226" s="22" t="n"/>
      <x:c r="O226" s="22" t="n"/>
      <x:c r="P226" s="25" t="n"/>
      <x:c r="Q226" s="25" t="n"/>
      <x:c r="R226" s="25" t="n"/>
      <x:c r="S226" s="22" t="n"/>
      <x:c r="T226" s="23" t="n"/>
      <x:c r="U226" s="25" t="n"/>
      <x:c r="V226" s="25" t="n"/>
      <x:c r="W226" s="25">
        <x:f>IF(OR(AND(OR(O226="DELIVERED",O226="PARTIAL"),J226&lt;&gt;TRUE),AND(OR(E226="CASH",E226="DAY CHEQUE",E226="POST DATED CHQ"),I226&lt;&gt;TRUE),AND(OR(E226="CASH",E226="DAY CHEQUE",E226="POST DATED CHQ"),K226&lt;&gt;TRUE),AND(E226="POST DATED CHQ",ISBLANK(M226)),P226=TRUE,Q226=TRUE,AND(R226=TRUE,OR(ISBLANK(S226),ISBLANK(T226))),AND(E226="ONLINE",V226&lt;&gt;TRUE),AND(I226=TRUE,U226&lt;&gt;TRUE)),TRUE,FALSE)</x:f>
      </x:c>
      <x:c r="X226" s="22" t="n"/>
    </x:row>
    <x:row r="227">
      <x:c r="A227" s="22" t="n"/>
      <x:c r="B227" s="22" t="n"/>
      <x:c r="C227" s="22" t="n"/>
      <x:c r="D227" s="22" t="n"/>
      <x:c r="E227" s="22" t="n"/>
      <x:c r="F227" s="23" t="n"/>
      <x:c r="G227" s="23" t="n"/>
      <x:c r="H227" s="24">
        <x:f>IF(OR(ISBLANK(F227),ISBLANK(G227)),"",G227-F227)</x:f>
      </x:c>
      <x:c r="I227" s="25" t="n"/>
      <x:c r="J227" s="25" t="n"/>
      <x:c r="K227" s="25" t="n"/>
      <x:c r="L227" s="22" t="n"/>
      <x:c r="M227" s="22" t="n"/>
      <x:c r="N227" s="22" t="n"/>
      <x:c r="O227" s="22" t="n"/>
      <x:c r="P227" s="25" t="n"/>
      <x:c r="Q227" s="25" t="n"/>
      <x:c r="R227" s="25" t="n"/>
      <x:c r="S227" s="22" t="n"/>
      <x:c r="T227" s="23" t="n"/>
      <x:c r="U227" s="25" t="n"/>
      <x:c r="V227" s="25" t="n"/>
      <x:c r="W227" s="25">
        <x:f>IF(OR(AND(OR(O227="DELIVERED",O227="PARTIAL"),J227&lt;&gt;TRUE),AND(OR(E227="CASH",E227="DAY CHEQUE",E227="POST DATED CHQ"),I227&lt;&gt;TRUE),AND(OR(E227="CASH",E227="DAY CHEQUE",E227="POST DATED CHQ"),K227&lt;&gt;TRUE),AND(E227="POST DATED CHQ",ISBLANK(M227)),P227=TRUE,Q227=TRUE,AND(R227=TRUE,OR(ISBLANK(S227),ISBLANK(T227))),AND(E227="ONLINE",V227&lt;&gt;TRUE),AND(I227=TRUE,U227&lt;&gt;TRUE)),TRUE,FALSE)</x:f>
      </x:c>
      <x:c r="X227" s="22" t="n"/>
    </x:row>
    <x:row r="228">
      <x:c r="A228" s="22" t="n"/>
      <x:c r="B228" s="22" t="n"/>
      <x:c r="C228" s="22" t="n"/>
      <x:c r="D228" s="22" t="n"/>
      <x:c r="E228" s="22" t="n"/>
      <x:c r="F228" s="23" t="n"/>
      <x:c r="G228" s="23" t="n"/>
      <x:c r="H228" s="24">
        <x:f>IF(OR(ISBLANK(F228),ISBLANK(G228)),"",G228-F228)</x:f>
      </x:c>
      <x:c r="I228" s="25" t="n"/>
      <x:c r="J228" s="25" t="n"/>
      <x:c r="K228" s="25" t="n"/>
      <x:c r="L228" s="22" t="n"/>
      <x:c r="M228" s="22" t="n"/>
      <x:c r="N228" s="22" t="n"/>
      <x:c r="O228" s="22" t="n"/>
      <x:c r="P228" s="25" t="n"/>
      <x:c r="Q228" s="25" t="n"/>
      <x:c r="R228" s="25" t="n"/>
      <x:c r="S228" s="22" t="n"/>
      <x:c r="T228" s="23" t="n"/>
      <x:c r="U228" s="25" t="n"/>
      <x:c r="V228" s="25" t="n"/>
      <x:c r="W228" s="25">
        <x:f>IF(OR(AND(OR(O228="DELIVERED",O228="PARTIAL"),J228&lt;&gt;TRUE),AND(OR(E228="CASH",E228="DAY CHEQUE",E228="POST DATED CHQ"),I228&lt;&gt;TRUE),AND(OR(E228="CASH",E228="DAY CHEQUE",E228="POST DATED CHQ"),K228&lt;&gt;TRUE),AND(E228="POST DATED CHQ",ISBLANK(M228)),P228=TRUE,Q228=TRUE,AND(R228=TRUE,OR(ISBLANK(S228),ISBLANK(T228))),AND(E228="ONLINE",V228&lt;&gt;TRUE),AND(I228=TRUE,U228&lt;&gt;TRUE)),TRUE,FALSE)</x:f>
      </x:c>
      <x:c r="X228" s="22" t="n"/>
    </x:row>
    <x:row r="229">
      <x:c r="A229" s="22" t="n"/>
      <x:c r="B229" s="22" t="n"/>
      <x:c r="C229" s="22" t="n"/>
      <x:c r="D229" s="22" t="n"/>
      <x:c r="E229" s="22" t="n"/>
      <x:c r="F229" s="23" t="n"/>
      <x:c r="G229" s="23" t="n"/>
      <x:c r="H229" s="24">
        <x:f>IF(OR(ISBLANK(F229),ISBLANK(G229)),"",G229-F229)</x:f>
      </x:c>
      <x:c r="I229" s="25" t="n"/>
      <x:c r="J229" s="25" t="n"/>
      <x:c r="K229" s="25" t="n"/>
      <x:c r="L229" s="22" t="n"/>
      <x:c r="M229" s="22" t="n"/>
      <x:c r="N229" s="22" t="n"/>
      <x:c r="O229" s="22" t="n"/>
      <x:c r="P229" s="25" t="n"/>
      <x:c r="Q229" s="25" t="n"/>
      <x:c r="R229" s="25" t="n"/>
      <x:c r="S229" s="22" t="n"/>
      <x:c r="T229" s="23" t="n"/>
      <x:c r="U229" s="25" t="n"/>
      <x:c r="V229" s="25" t="n"/>
      <x:c r="W229" s="25">
        <x:f>IF(OR(AND(OR(O229="DELIVERED",O229="PARTIAL"),J229&lt;&gt;TRUE),AND(OR(E229="CASH",E229="DAY CHEQUE",E229="POST DATED CHQ"),I229&lt;&gt;TRUE),AND(OR(E229="CASH",E229="DAY CHEQUE",E229="POST DATED CHQ"),K229&lt;&gt;TRUE),AND(E229="POST DATED CHQ",ISBLANK(M229)),P229=TRUE,Q229=TRUE,AND(R229=TRUE,OR(ISBLANK(S229),ISBLANK(T229))),AND(E229="ONLINE",V229&lt;&gt;TRUE),AND(I229=TRUE,U229&lt;&gt;TRUE)),TRUE,FALSE)</x:f>
      </x:c>
      <x:c r="X229" s="22" t="n"/>
    </x:row>
    <x:row r="230">
      <x:c r="A230" s="22" t="n"/>
      <x:c r="B230" s="22" t="n"/>
      <x:c r="C230" s="22" t="n"/>
      <x:c r="D230" s="22" t="n"/>
      <x:c r="E230" s="22" t="n"/>
      <x:c r="F230" s="23" t="n"/>
      <x:c r="G230" s="23" t="n"/>
      <x:c r="H230" s="24">
        <x:f>IF(OR(ISBLANK(F230),ISBLANK(G230)),"",G230-F230)</x:f>
      </x:c>
      <x:c r="I230" s="25" t="n"/>
      <x:c r="J230" s="25" t="n"/>
      <x:c r="K230" s="25" t="n"/>
      <x:c r="L230" s="22" t="n"/>
      <x:c r="M230" s="22" t="n"/>
      <x:c r="N230" s="22" t="n"/>
      <x:c r="O230" s="22" t="n"/>
      <x:c r="P230" s="25" t="n"/>
      <x:c r="Q230" s="25" t="n"/>
      <x:c r="R230" s="25" t="n"/>
      <x:c r="S230" s="22" t="n"/>
      <x:c r="T230" s="23" t="n"/>
      <x:c r="U230" s="25" t="n"/>
      <x:c r="V230" s="25" t="n"/>
      <x:c r="W230" s="25">
        <x:f>IF(OR(AND(OR(O230="DELIVERED",O230="PARTIAL"),J230&lt;&gt;TRUE),AND(OR(E230="CASH",E230="DAY CHEQUE",E230="POST DATED CHQ"),I230&lt;&gt;TRUE),AND(OR(E230="CASH",E230="DAY CHEQUE",E230="POST DATED CHQ"),K230&lt;&gt;TRUE),AND(E230="POST DATED CHQ",ISBLANK(M230)),P230=TRUE,Q230=TRUE,AND(R230=TRUE,OR(ISBLANK(S230),ISBLANK(T230))),AND(E230="ONLINE",V230&lt;&gt;TRUE),AND(I230=TRUE,U230&lt;&gt;TRUE)),TRUE,FALSE)</x:f>
      </x:c>
      <x:c r="X230" s="22" t="n"/>
    </x:row>
    <x:row r="231">
      <x:c r="A231" s="22" t="n"/>
      <x:c r="B231" s="22" t="n"/>
      <x:c r="C231" s="22" t="n"/>
      <x:c r="D231" s="22" t="n"/>
      <x:c r="E231" s="22" t="n"/>
      <x:c r="F231" s="23" t="n"/>
      <x:c r="G231" s="23" t="n"/>
      <x:c r="H231" s="24">
        <x:f>IF(OR(ISBLANK(F231),ISBLANK(G231)),"",G231-F231)</x:f>
      </x:c>
      <x:c r="I231" s="25" t="n"/>
      <x:c r="J231" s="25" t="n"/>
      <x:c r="K231" s="25" t="n"/>
      <x:c r="L231" s="22" t="n"/>
      <x:c r="M231" s="22" t="n"/>
      <x:c r="N231" s="22" t="n"/>
      <x:c r="O231" s="22" t="n"/>
      <x:c r="P231" s="25" t="n"/>
      <x:c r="Q231" s="25" t="n"/>
      <x:c r="R231" s="25" t="n"/>
      <x:c r="S231" s="22" t="n"/>
      <x:c r="T231" s="23" t="n"/>
      <x:c r="U231" s="25" t="n"/>
      <x:c r="V231" s="25" t="n"/>
      <x:c r="W231" s="25">
        <x:f>IF(OR(AND(OR(O231="DELIVERED",O231="PARTIAL"),J231&lt;&gt;TRUE),AND(OR(E231="CASH",E231="DAY CHEQUE",E231="POST DATED CHQ"),I231&lt;&gt;TRUE),AND(OR(E231="CASH",E231="DAY CHEQUE",E231="POST DATED CHQ"),K231&lt;&gt;TRUE),AND(E231="POST DATED CHQ",ISBLANK(M231)),P231=TRUE,Q231=TRUE,AND(R231=TRUE,OR(ISBLANK(S231),ISBLANK(T231))),AND(E231="ONLINE",V231&lt;&gt;TRUE),AND(I231=TRUE,U231&lt;&gt;TRUE)),TRUE,FALSE)</x:f>
      </x:c>
      <x:c r="X231" s="22" t="n"/>
    </x:row>
    <x:row r="232">
      <x:c r="A232" s="22" t="n"/>
      <x:c r="B232" s="22" t="n"/>
      <x:c r="C232" s="22" t="n"/>
      <x:c r="D232" s="22" t="n"/>
      <x:c r="E232" s="22" t="n"/>
      <x:c r="F232" s="23" t="n"/>
      <x:c r="G232" s="23" t="n"/>
      <x:c r="H232" s="24">
        <x:f>IF(OR(ISBLANK(F232),ISBLANK(G232)),"",G232-F232)</x:f>
      </x:c>
      <x:c r="I232" s="25" t="n"/>
      <x:c r="J232" s="25" t="n"/>
      <x:c r="K232" s="25" t="n"/>
      <x:c r="L232" s="22" t="n"/>
      <x:c r="M232" s="22" t="n"/>
      <x:c r="N232" s="22" t="n"/>
      <x:c r="O232" s="22" t="n"/>
      <x:c r="P232" s="25" t="n"/>
      <x:c r="Q232" s="25" t="n"/>
      <x:c r="R232" s="25" t="n"/>
      <x:c r="S232" s="22" t="n"/>
      <x:c r="T232" s="23" t="n"/>
      <x:c r="U232" s="25" t="n"/>
      <x:c r="V232" s="25" t="n"/>
      <x:c r="W232" s="25">
        <x:f>IF(OR(AND(OR(O232="DELIVERED",O232="PARTIAL"),J232&lt;&gt;TRUE),AND(OR(E232="CASH",E232="DAY CHEQUE",E232="POST DATED CHQ"),I232&lt;&gt;TRUE),AND(OR(E232="CASH",E232="DAY CHEQUE",E232="POST DATED CHQ"),K232&lt;&gt;TRUE),AND(E232="POST DATED CHQ",ISBLANK(M232)),P232=TRUE,Q232=TRUE,AND(R232=TRUE,OR(ISBLANK(S232),ISBLANK(T232))),AND(E232="ONLINE",V232&lt;&gt;TRUE),AND(I232=TRUE,U232&lt;&gt;TRUE)),TRUE,FALSE)</x:f>
      </x:c>
      <x:c r="X232" s="22" t="n"/>
    </x:row>
    <x:row r="233">
      <x:c r="A233" s="22" t="n"/>
      <x:c r="B233" s="22" t="n"/>
      <x:c r="C233" s="22" t="n"/>
      <x:c r="D233" s="22" t="n"/>
      <x:c r="E233" s="22" t="n"/>
      <x:c r="F233" s="23" t="n"/>
      <x:c r="G233" s="23" t="n"/>
      <x:c r="H233" s="24">
        <x:f>IF(OR(ISBLANK(F233),ISBLANK(G233)),"",G233-F233)</x:f>
      </x:c>
      <x:c r="I233" s="25" t="n"/>
      <x:c r="J233" s="25" t="n"/>
      <x:c r="K233" s="25" t="n"/>
      <x:c r="L233" s="22" t="n"/>
      <x:c r="M233" s="22" t="n"/>
      <x:c r="N233" s="22" t="n"/>
      <x:c r="O233" s="22" t="n"/>
      <x:c r="P233" s="25" t="n"/>
      <x:c r="Q233" s="25" t="n"/>
      <x:c r="R233" s="25" t="n"/>
      <x:c r="S233" s="22" t="n"/>
      <x:c r="T233" s="23" t="n"/>
      <x:c r="U233" s="25" t="n"/>
      <x:c r="V233" s="25" t="n"/>
      <x:c r="W233" s="25">
        <x:f>IF(OR(AND(OR(O233="DELIVERED",O233="PARTIAL"),J233&lt;&gt;TRUE),AND(OR(E233="CASH",E233="DAY CHEQUE",E233="POST DATED CHQ"),I233&lt;&gt;TRUE),AND(OR(E233="CASH",E233="DAY CHEQUE",E233="POST DATED CHQ"),K233&lt;&gt;TRUE),AND(E233="POST DATED CHQ",ISBLANK(M233)),P233=TRUE,Q233=TRUE,AND(R233=TRUE,OR(ISBLANK(S233),ISBLANK(T233))),AND(E233="ONLINE",V233&lt;&gt;TRUE),AND(I233=TRUE,U233&lt;&gt;TRUE)),TRUE,FALSE)</x:f>
      </x:c>
      <x:c r="X233" s="22" t="n"/>
    </x:row>
    <x:row r="234">
      <x:c r="A234" s="22" t="n"/>
      <x:c r="B234" s="22" t="n"/>
      <x:c r="C234" s="22" t="n"/>
      <x:c r="D234" s="22" t="n"/>
      <x:c r="E234" s="22" t="n"/>
      <x:c r="F234" s="23" t="n"/>
      <x:c r="G234" s="23" t="n"/>
      <x:c r="H234" s="24">
        <x:f>IF(OR(ISBLANK(F234),ISBLANK(G234)),"",G234-F234)</x:f>
      </x:c>
      <x:c r="I234" s="25" t="n"/>
      <x:c r="J234" s="25" t="n"/>
      <x:c r="K234" s="25" t="n"/>
      <x:c r="L234" s="22" t="n"/>
      <x:c r="M234" s="22" t="n"/>
      <x:c r="N234" s="22" t="n"/>
      <x:c r="O234" s="22" t="n"/>
      <x:c r="P234" s="25" t="n"/>
      <x:c r="Q234" s="25" t="n"/>
      <x:c r="R234" s="25" t="n"/>
      <x:c r="S234" s="22" t="n"/>
      <x:c r="T234" s="23" t="n"/>
      <x:c r="U234" s="25" t="n"/>
      <x:c r="V234" s="25" t="n"/>
      <x:c r="W234" s="25">
        <x:f>IF(OR(AND(OR(O234="DELIVERED",O234="PARTIAL"),J234&lt;&gt;TRUE),AND(OR(E234="CASH",E234="DAY CHEQUE",E234="POST DATED CHQ"),I234&lt;&gt;TRUE),AND(OR(E234="CASH",E234="DAY CHEQUE",E234="POST DATED CHQ"),K234&lt;&gt;TRUE),AND(E234="POST DATED CHQ",ISBLANK(M234)),P234=TRUE,Q234=TRUE,AND(R234=TRUE,OR(ISBLANK(S234),ISBLANK(T234))),AND(E234="ONLINE",V234&lt;&gt;TRUE),AND(I234=TRUE,U234&lt;&gt;TRUE)),TRUE,FALSE)</x:f>
      </x:c>
      <x:c r="X234" s="22" t="n"/>
    </x:row>
    <x:row r="235">
      <x:c r="A235" s="22" t="n"/>
      <x:c r="B235" s="22" t="n"/>
      <x:c r="C235" s="22" t="n"/>
      <x:c r="D235" s="22" t="n"/>
      <x:c r="E235" s="22" t="n"/>
      <x:c r="F235" s="23" t="n"/>
      <x:c r="G235" s="23" t="n"/>
      <x:c r="H235" s="24">
        <x:f>IF(OR(ISBLANK(F235),ISBLANK(G235)),"",G235-F235)</x:f>
      </x:c>
      <x:c r="I235" s="25" t="n"/>
      <x:c r="J235" s="25" t="n"/>
      <x:c r="K235" s="25" t="n"/>
      <x:c r="L235" s="22" t="n"/>
      <x:c r="M235" s="22" t="n"/>
      <x:c r="N235" s="22" t="n"/>
      <x:c r="O235" s="22" t="n"/>
      <x:c r="P235" s="25" t="n"/>
      <x:c r="Q235" s="25" t="n"/>
      <x:c r="R235" s="25" t="n"/>
      <x:c r="S235" s="22" t="n"/>
      <x:c r="T235" s="23" t="n"/>
      <x:c r="U235" s="25" t="n"/>
      <x:c r="V235" s="25" t="n"/>
      <x:c r="W235" s="25">
        <x:f>IF(OR(AND(OR(O235="DELIVERED",O235="PARTIAL"),J235&lt;&gt;TRUE),AND(OR(E235="CASH",E235="DAY CHEQUE",E235="POST DATED CHQ"),I235&lt;&gt;TRUE),AND(OR(E235="CASH",E235="DAY CHEQUE",E235="POST DATED CHQ"),K235&lt;&gt;TRUE),AND(E235="POST DATED CHQ",ISBLANK(M235)),P235=TRUE,Q235=TRUE,AND(R235=TRUE,OR(ISBLANK(S235),ISBLANK(T235))),AND(E235="ONLINE",V235&lt;&gt;TRUE),AND(I235=TRUE,U235&lt;&gt;TRUE)),TRUE,FALSE)</x:f>
      </x:c>
      <x:c r="X235" s="22" t="n"/>
    </x:row>
    <x:row r="236">
      <x:c r="A236" s="22" t="n"/>
      <x:c r="B236" s="22" t="n"/>
      <x:c r="C236" s="22" t="n"/>
      <x:c r="D236" s="22" t="n"/>
      <x:c r="E236" s="22" t="n"/>
      <x:c r="F236" s="23" t="n"/>
      <x:c r="G236" s="23" t="n"/>
      <x:c r="H236" s="24">
        <x:f>IF(OR(ISBLANK(F236),ISBLANK(G236)),"",G236-F236)</x:f>
      </x:c>
      <x:c r="I236" s="25" t="n"/>
      <x:c r="J236" s="25" t="n"/>
      <x:c r="K236" s="25" t="n"/>
      <x:c r="L236" s="22" t="n"/>
      <x:c r="M236" s="22" t="n"/>
      <x:c r="N236" s="22" t="n"/>
      <x:c r="O236" s="22" t="n"/>
      <x:c r="P236" s="25" t="n"/>
      <x:c r="Q236" s="25" t="n"/>
      <x:c r="R236" s="25" t="n"/>
      <x:c r="S236" s="22" t="n"/>
      <x:c r="T236" s="23" t="n"/>
      <x:c r="U236" s="25" t="n"/>
      <x:c r="V236" s="25" t="n"/>
      <x:c r="W236" s="25">
        <x:f>IF(OR(AND(OR(O236="DELIVERED",O236="PARTIAL"),J236&lt;&gt;TRUE),AND(OR(E236="CASH",E236="DAY CHEQUE",E236="POST DATED CHQ"),I236&lt;&gt;TRUE),AND(OR(E236="CASH",E236="DAY CHEQUE",E236="POST DATED CHQ"),K236&lt;&gt;TRUE),AND(E236="POST DATED CHQ",ISBLANK(M236)),P236=TRUE,Q236=TRUE,AND(R236=TRUE,OR(ISBLANK(S236),ISBLANK(T236))),AND(E236="ONLINE",V236&lt;&gt;TRUE),AND(I236=TRUE,U236&lt;&gt;TRUE)),TRUE,FALSE)</x:f>
      </x:c>
      <x:c r="X236" s="22" t="n"/>
    </x:row>
    <x:row r="237">
      <x:c r="A237" s="22" t="n"/>
      <x:c r="B237" s="22" t="n"/>
      <x:c r="C237" s="22" t="n"/>
      <x:c r="D237" s="22" t="n"/>
      <x:c r="E237" s="22" t="n"/>
      <x:c r="F237" s="23" t="n"/>
      <x:c r="G237" s="23" t="n"/>
      <x:c r="H237" s="24">
        <x:f>IF(OR(ISBLANK(F237),ISBLANK(G237)),"",G237-F237)</x:f>
      </x:c>
      <x:c r="I237" s="25" t="n"/>
      <x:c r="J237" s="25" t="n"/>
      <x:c r="K237" s="25" t="n"/>
      <x:c r="L237" s="22" t="n"/>
      <x:c r="M237" s="22" t="n"/>
      <x:c r="N237" s="22" t="n"/>
      <x:c r="O237" s="22" t="n"/>
      <x:c r="P237" s="25" t="n"/>
      <x:c r="Q237" s="25" t="n"/>
      <x:c r="R237" s="25" t="n"/>
      <x:c r="S237" s="22" t="n"/>
      <x:c r="T237" s="23" t="n"/>
      <x:c r="U237" s="25" t="n"/>
      <x:c r="V237" s="25" t="n"/>
      <x:c r="W237" s="25">
        <x:f>IF(OR(AND(OR(O237="DELIVERED",O237="PARTIAL"),J237&lt;&gt;TRUE),AND(OR(E237="CASH",E237="DAY CHEQUE",E237="POST DATED CHQ"),I237&lt;&gt;TRUE),AND(OR(E237="CASH",E237="DAY CHEQUE",E237="POST DATED CHQ"),K237&lt;&gt;TRUE),AND(E237="POST DATED CHQ",ISBLANK(M237)),P237=TRUE,Q237=TRUE,AND(R237=TRUE,OR(ISBLANK(S237),ISBLANK(T237))),AND(E237="ONLINE",V237&lt;&gt;TRUE),AND(I237=TRUE,U237&lt;&gt;TRUE)),TRUE,FALSE)</x:f>
      </x:c>
      <x:c r="X237" s="22" t="n"/>
    </x:row>
    <x:row r="238">
      <x:c r="A238" s="22" t="n"/>
      <x:c r="B238" s="22" t="n"/>
      <x:c r="C238" s="22" t="n"/>
      <x:c r="D238" s="22" t="n"/>
      <x:c r="E238" s="22" t="n"/>
      <x:c r="F238" s="23" t="n"/>
      <x:c r="G238" s="23" t="n"/>
      <x:c r="H238" s="24">
        <x:f>IF(OR(ISBLANK(F238),ISBLANK(G238)),"",G238-F238)</x:f>
      </x:c>
      <x:c r="I238" s="25" t="n"/>
      <x:c r="J238" s="25" t="n"/>
      <x:c r="K238" s="25" t="n"/>
      <x:c r="L238" s="22" t="n"/>
      <x:c r="M238" s="22" t="n"/>
      <x:c r="N238" s="22" t="n"/>
      <x:c r="O238" s="22" t="n"/>
      <x:c r="P238" s="25" t="n"/>
      <x:c r="Q238" s="25" t="n"/>
      <x:c r="R238" s="25" t="n"/>
      <x:c r="S238" s="22" t="n"/>
      <x:c r="T238" s="23" t="n"/>
      <x:c r="U238" s="25" t="n"/>
      <x:c r="V238" s="25" t="n"/>
      <x:c r="W238" s="25">
        <x:f>IF(OR(AND(OR(O238="DELIVERED",O238="PARTIAL"),J238&lt;&gt;TRUE),AND(OR(E238="CASH",E238="DAY CHEQUE",E238="POST DATED CHQ"),I238&lt;&gt;TRUE),AND(OR(E238="CASH",E238="DAY CHEQUE",E238="POST DATED CHQ"),K238&lt;&gt;TRUE),AND(E238="POST DATED CHQ",ISBLANK(M238)),P238=TRUE,Q238=TRUE,AND(R238=TRUE,OR(ISBLANK(S238),ISBLANK(T238))),AND(E238="ONLINE",V238&lt;&gt;TRUE),AND(I238=TRUE,U238&lt;&gt;TRUE)),TRUE,FALSE)</x:f>
      </x:c>
      <x:c r="X238" s="22" t="n"/>
    </x:row>
    <x:row r="239">
      <x:c r="A239" s="22" t="n"/>
      <x:c r="B239" s="22" t="n"/>
      <x:c r="C239" s="22" t="n"/>
      <x:c r="D239" s="22" t="n"/>
      <x:c r="E239" s="22" t="n"/>
      <x:c r="F239" s="23" t="n"/>
      <x:c r="G239" s="23" t="n"/>
      <x:c r="H239" s="24">
        <x:f>IF(OR(ISBLANK(F239),ISBLANK(G239)),"",G239-F239)</x:f>
      </x:c>
      <x:c r="I239" s="25" t="n"/>
      <x:c r="J239" s="25" t="n"/>
      <x:c r="K239" s="25" t="n"/>
      <x:c r="L239" s="22" t="n"/>
      <x:c r="M239" s="22" t="n"/>
      <x:c r="N239" s="22" t="n"/>
      <x:c r="O239" s="22" t="n"/>
      <x:c r="P239" s="25" t="n"/>
      <x:c r="Q239" s="25" t="n"/>
      <x:c r="R239" s="25" t="n"/>
      <x:c r="S239" s="22" t="n"/>
      <x:c r="T239" s="23" t="n"/>
      <x:c r="U239" s="25" t="n"/>
      <x:c r="V239" s="25" t="n"/>
      <x:c r="W239" s="25">
        <x:f>IF(OR(AND(OR(O239="DELIVERED",O239="PARTIAL"),J239&lt;&gt;TRUE),AND(OR(E239="CASH",E239="DAY CHEQUE",E239="POST DATED CHQ"),I239&lt;&gt;TRUE),AND(OR(E239="CASH",E239="DAY CHEQUE",E239="POST DATED CHQ"),K239&lt;&gt;TRUE),AND(E239="POST DATED CHQ",ISBLANK(M239)),P239=TRUE,Q239=TRUE,AND(R239=TRUE,OR(ISBLANK(S239),ISBLANK(T239))),AND(E239="ONLINE",V239&lt;&gt;TRUE),AND(I239=TRUE,U239&lt;&gt;TRUE)),TRUE,FALSE)</x:f>
      </x:c>
      <x:c r="X239" s="22" t="n"/>
    </x:row>
    <x:row r="240">
      <x:c r="A240" s="22" t="n"/>
      <x:c r="B240" s="22" t="n"/>
      <x:c r="C240" s="22" t="n"/>
      <x:c r="D240" s="22" t="n"/>
      <x:c r="E240" s="22" t="n"/>
      <x:c r="F240" s="23" t="n"/>
      <x:c r="G240" s="23" t="n"/>
      <x:c r="H240" s="24">
        <x:f>IF(OR(ISBLANK(F240),ISBLANK(G240)),"",G240-F240)</x:f>
      </x:c>
      <x:c r="I240" s="25" t="n"/>
      <x:c r="J240" s="25" t="n"/>
      <x:c r="K240" s="25" t="n"/>
      <x:c r="L240" s="22" t="n"/>
      <x:c r="M240" s="22" t="n"/>
      <x:c r="N240" s="22" t="n"/>
      <x:c r="O240" s="22" t="n"/>
      <x:c r="P240" s="25" t="n"/>
      <x:c r="Q240" s="25" t="n"/>
      <x:c r="R240" s="25" t="n"/>
      <x:c r="S240" s="22" t="n"/>
      <x:c r="T240" s="23" t="n"/>
      <x:c r="U240" s="25" t="n"/>
      <x:c r="V240" s="25" t="n"/>
      <x:c r="W240" s="25">
        <x:f>IF(OR(AND(OR(O240="DELIVERED",O240="PARTIAL"),J240&lt;&gt;TRUE),AND(OR(E240="CASH",E240="DAY CHEQUE",E240="POST DATED CHQ"),I240&lt;&gt;TRUE),AND(OR(E240="CASH",E240="DAY CHEQUE",E240="POST DATED CHQ"),K240&lt;&gt;TRUE),AND(E240="POST DATED CHQ",ISBLANK(M240)),P240=TRUE,Q240=TRUE,AND(R240=TRUE,OR(ISBLANK(S240),ISBLANK(T240))),AND(E240="ONLINE",V240&lt;&gt;TRUE),AND(I240=TRUE,U240&lt;&gt;TRUE)),TRUE,FALSE)</x:f>
      </x:c>
      <x:c r="X240" s="22" t="n"/>
    </x:row>
    <x:row r="241">
      <x:c r="A241" s="22" t="n"/>
      <x:c r="B241" s="22" t="n"/>
      <x:c r="C241" s="22" t="n"/>
      <x:c r="D241" s="22" t="n"/>
      <x:c r="E241" s="22" t="n"/>
      <x:c r="F241" s="23" t="n"/>
      <x:c r="G241" s="23" t="n"/>
      <x:c r="H241" s="24">
        <x:f>IF(OR(ISBLANK(F241),ISBLANK(G241)),"",G241-F241)</x:f>
      </x:c>
      <x:c r="I241" s="25" t="n"/>
      <x:c r="J241" s="25" t="n"/>
      <x:c r="K241" s="25" t="n"/>
      <x:c r="L241" s="22" t="n"/>
      <x:c r="M241" s="22" t="n"/>
      <x:c r="N241" s="22" t="n"/>
      <x:c r="O241" s="22" t="n"/>
      <x:c r="P241" s="25" t="n"/>
      <x:c r="Q241" s="25" t="n"/>
      <x:c r="R241" s="25" t="n"/>
      <x:c r="S241" s="22" t="n"/>
      <x:c r="T241" s="23" t="n"/>
      <x:c r="U241" s="25" t="n"/>
      <x:c r="V241" s="25" t="n"/>
      <x:c r="W241" s="25">
        <x:f>IF(OR(AND(OR(O241="DELIVERED",O241="PARTIAL"),J241&lt;&gt;TRUE),AND(OR(E241="CASH",E241="DAY CHEQUE",E241="POST DATED CHQ"),I241&lt;&gt;TRUE),AND(OR(E241="CASH",E241="DAY CHEQUE",E241="POST DATED CHQ"),K241&lt;&gt;TRUE),AND(E241="POST DATED CHQ",ISBLANK(M241)),P241=TRUE,Q241=TRUE,AND(R241=TRUE,OR(ISBLANK(S241),ISBLANK(T241))),AND(E241="ONLINE",V241&lt;&gt;TRUE),AND(I241=TRUE,U241&lt;&gt;TRUE)),TRUE,FALSE)</x:f>
      </x:c>
      <x:c r="X241" s="22" t="n"/>
    </x:row>
    <x:row r="242">
      <x:c r="A242" s="22" t="n"/>
      <x:c r="B242" s="22" t="n"/>
      <x:c r="C242" s="22" t="n"/>
      <x:c r="D242" s="22" t="n"/>
      <x:c r="E242" s="22" t="n"/>
      <x:c r="F242" s="23" t="n"/>
      <x:c r="G242" s="23" t="n"/>
      <x:c r="H242" s="24">
        <x:f>IF(OR(ISBLANK(F242),ISBLANK(G242)),"",G242-F242)</x:f>
      </x:c>
      <x:c r="I242" s="25" t="n"/>
      <x:c r="J242" s="25" t="n"/>
      <x:c r="K242" s="25" t="n"/>
      <x:c r="L242" s="22" t="n"/>
      <x:c r="M242" s="22" t="n"/>
      <x:c r="N242" s="22" t="n"/>
      <x:c r="O242" s="22" t="n"/>
      <x:c r="P242" s="25" t="n"/>
      <x:c r="Q242" s="25" t="n"/>
      <x:c r="R242" s="25" t="n"/>
      <x:c r="S242" s="22" t="n"/>
      <x:c r="T242" s="23" t="n"/>
      <x:c r="U242" s="25" t="n"/>
      <x:c r="V242" s="25" t="n"/>
      <x:c r="W242" s="25">
        <x:f>IF(OR(AND(OR(O242="DELIVERED",O242="PARTIAL"),J242&lt;&gt;TRUE),AND(OR(E242="CASH",E242="DAY CHEQUE",E242="POST DATED CHQ"),I242&lt;&gt;TRUE),AND(OR(E242="CASH",E242="DAY CHEQUE",E242="POST DATED CHQ"),K242&lt;&gt;TRUE),AND(E242="POST DATED CHQ",ISBLANK(M242)),P242=TRUE,Q242=TRUE,AND(R242=TRUE,OR(ISBLANK(S242),ISBLANK(T242))),AND(E242="ONLINE",V242&lt;&gt;TRUE),AND(I242=TRUE,U242&lt;&gt;TRUE)),TRUE,FALSE)</x:f>
      </x:c>
      <x:c r="X242" s="22" t="n"/>
    </x:row>
    <x:row r="243">
      <x:c r="A243" s="22" t="n"/>
      <x:c r="B243" s="22" t="n"/>
      <x:c r="C243" s="22" t="n"/>
      <x:c r="D243" s="22" t="n"/>
      <x:c r="E243" s="22" t="n"/>
      <x:c r="F243" s="23" t="n"/>
      <x:c r="G243" s="23" t="n"/>
      <x:c r="H243" s="24">
        <x:f>IF(OR(ISBLANK(F243),ISBLANK(G243)),"",G243-F243)</x:f>
      </x:c>
      <x:c r="I243" s="25" t="n"/>
      <x:c r="J243" s="25" t="n"/>
      <x:c r="K243" s="25" t="n"/>
      <x:c r="L243" s="22" t="n"/>
      <x:c r="M243" s="22" t="n"/>
      <x:c r="N243" s="22" t="n"/>
      <x:c r="O243" s="22" t="n"/>
      <x:c r="P243" s="25" t="n"/>
      <x:c r="Q243" s="25" t="n"/>
      <x:c r="R243" s="25" t="n"/>
      <x:c r="S243" s="22" t="n"/>
      <x:c r="T243" s="23" t="n"/>
      <x:c r="U243" s="25" t="n"/>
      <x:c r="V243" s="25" t="n"/>
      <x:c r="W243" s="25">
        <x:f>IF(OR(AND(OR(O243="DELIVERED",O243="PARTIAL"),J243&lt;&gt;TRUE),AND(OR(E243="CASH",E243="DAY CHEQUE",E243="POST DATED CHQ"),I243&lt;&gt;TRUE),AND(OR(E243="CASH",E243="DAY CHEQUE",E243="POST DATED CHQ"),K243&lt;&gt;TRUE),AND(E243="POST DATED CHQ",ISBLANK(M243)),P243=TRUE,Q243=TRUE,AND(R243=TRUE,OR(ISBLANK(S243),ISBLANK(T243))),AND(E243="ONLINE",V243&lt;&gt;TRUE),AND(I243=TRUE,U243&lt;&gt;TRUE)),TRUE,FALSE)</x:f>
      </x:c>
      <x:c r="X243" s="22" t="n"/>
    </x:row>
    <x:row r="244">
      <x:c r="A244" s="22" t="n"/>
      <x:c r="B244" s="22" t="n"/>
      <x:c r="C244" s="22" t="n"/>
      <x:c r="D244" s="22" t="n"/>
      <x:c r="E244" s="22" t="n"/>
      <x:c r="F244" s="23" t="n"/>
      <x:c r="G244" s="23" t="n"/>
      <x:c r="H244" s="24">
        <x:f>IF(OR(ISBLANK(F244),ISBLANK(G244)),"",G244-F244)</x:f>
      </x:c>
      <x:c r="I244" s="25" t="n"/>
      <x:c r="J244" s="25" t="n"/>
      <x:c r="K244" s="25" t="n"/>
      <x:c r="L244" s="22" t="n"/>
      <x:c r="M244" s="22" t="n"/>
      <x:c r="N244" s="22" t="n"/>
      <x:c r="O244" s="22" t="n"/>
      <x:c r="P244" s="25" t="n"/>
      <x:c r="Q244" s="25" t="n"/>
      <x:c r="R244" s="25" t="n"/>
      <x:c r="S244" s="22" t="n"/>
      <x:c r="T244" s="23" t="n"/>
      <x:c r="U244" s="25" t="n"/>
      <x:c r="V244" s="25" t="n"/>
      <x:c r="W244" s="25">
        <x:f>IF(OR(AND(OR(O244="DELIVERED",O244="PARTIAL"),J244&lt;&gt;TRUE),AND(OR(E244="CASH",E244="DAY CHEQUE",E244="POST DATED CHQ"),I244&lt;&gt;TRUE),AND(OR(E244="CASH",E244="DAY CHEQUE",E244="POST DATED CHQ"),K244&lt;&gt;TRUE),AND(E244="POST DATED CHQ",ISBLANK(M244)),P244=TRUE,Q244=TRUE,AND(R244=TRUE,OR(ISBLANK(S244),ISBLANK(T244))),AND(E244="ONLINE",V244&lt;&gt;TRUE),AND(I244=TRUE,U244&lt;&gt;TRUE)),TRUE,FALSE)</x:f>
      </x:c>
      <x:c r="X244" s="22" t="n"/>
    </x:row>
    <x:row r="245">
      <x:c r="A245" s="22" t="n"/>
      <x:c r="B245" s="22" t="n"/>
      <x:c r="C245" s="22" t="n"/>
      <x:c r="D245" s="22" t="n"/>
      <x:c r="E245" s="22" t="n"/>
      <x:c r="F245" s="23" t="n"/>
      <x:c r="G245" s="23" t="n"/>
      <x:c r="H245" s="24">
        <x:f>IF(OR(ISBLANK(F245),ISBLANK(G245)),"",G245-F245)</x:f>
      </x:c>
      <x:c r="I245" s="25" t="n"/>
      <x:c r="J245" s="25" t="n"/>
      <x:c r="K245" s="25" t="n"/>
      <x:c r="L245" s="22" t="n"/>
      <x:c r="M245" s="22" t="n"/>
      <x:c r="N245" s="22" t="n"/>
      <x:c r="O245" s="22" t="n"/>
      <x:c r="P245" s="25" t="n"/>
      <x:c r="Q245" s="25" t="n"/>
      <x:c r="R245" s="25" t="n"/>
      <x:c r="S245" s="22" t="n"/>
      <x:c r="T245" s="23" t="n"/>
      <x:c r="U245" s="25" t="n"/>
      <x:c r="V245" s="25" t="n"/>
      <x:c r="W245" s="25">
        <x:f>IF(OR(AND(OR(O245="DELIVERED",O245="PARTIAL"),J245&lt;&gt;TRUE),AND(OR(E245="CASH",E245="DAY CHEQUE",E245="POST DATED CHQ"),I245&lt;&gt;TRUE),AND(OR(E245="CASH",E245="DAY CHEQUE",E245="POST DATED CHQ"),K245&lt;&gt;TRUE),AND(E245="POST DATED CHQ",ISBLANK(M245)),P245=TRUE,Q245=TRUE,AND(R245=TRUE,OR(ISBLANK(S245),ISBLANK(T245))),AND(E245="ONLINE",V245&lt;&gt;TRUE),AND(I245=TRUE,U245&lt;&gt;TRUE)),TRUE,FALSE)</x:f>
      </x:c>
      <x:c r="X245" s="22" t="n"/>
    </x:row>
    <x:row r="246">
      <x:c r="A246" s="22" t="n"/>
      <x:c r="B246" s="22" t="n"/>
      <x:c r="C246" s="22" t="n"/>
      <x:c r="D246" s="22" t="n"/>
      <x:c r="E246" s="22" t="n"/>
      <x:c r="F246" s="23" t="n"/>
      <x:c r="G246" s="23" t="n"/>
      <x:c r="H246" s="24">
        <x:f>IF(OR(ISBLANK(F246),ISBLANK(G246)),"",G246-F246)</x:f>
      </x:c>
      <x:c r="I246" s="25" t="n"/>
      <x:c r="J246" s="25" t="n"/>
      <x:c r="K246" s="25" t="n"/>
      <x:c r="L246" s="22" t="n"/>
      <x:c r="M246" s="22" t="n"/>
      <x:c r="N246" s="22" t="n"/>
      <x:c r="O246" s="22" t="n"/>
      <x:c r="P246" s="25" t="n"/>
      <x:c r="Q246" s="25" t="n"/>
      <x:c r="R246" s="25" t="n"/>
      <x:c r="S246" s="22" t="n"/>
      <x:c r="T246" s="23" t="n"/>
      <x:c r="U246" s="25" t="n"/>
      <x:c r="V246" s="25" t="n"/>
      <x:c r="W246" s="25">
        <x:f>IF(OR(AND(OR(O246="DELIVERED",O246="PARTIAL"),J246&lt;&gt;TRUE),AND(OR(E246="CASH",E246="DAY CHEQUE",E246="POST DATED CHQ"),I246&lt;&gt;TRUE),AND(OR(E246="CASH",E246="DAY CHEQUE",E246="POST DATED CHQ"),K246&lt;&gt;TRUE),AND(E246="POST DATED CHQ",ISBLANK(M246)),P246=TRUE,Q246=TRUE,AND(R246=TRUE,OR(ISBLANK(S246),ISBLANK(T246))),AND(E246="ONLINE",V246&lt;&gt;TRUE),AND(I246=TRUE,U246&lt;&gt;TRUE)),TRUE,FALSE)</x:f>
      </x:c>
      <x:c r="X246" s="22" t="n"/>
    </x:row>
    <x:row r="247">
      <x:c r="A247" s="22" t="n"/>
      <x:c r="B247" s="22" t="n"/>
      <x:c r="C247" s="22" t="n"/>
      <x:c r="D247" s="22" t="n"/>
      <x:c r="E247" s="22" t="n"/>
      <x:c r="F247" s="23" t="n"/>
      <x:c r="G247" s="23" t="n"/>
      <x:c r="H247" s="24">
        <x:f>IF(OR(ISBLANK(F247),ISBLANK(G247)),"",G247-F247)</x:f>
      </x:c>
      <x:c r="I247" s="25" t="n"/>
      <x:c r="J247" s="25" t="n"/>
      <x:c r="K247" s="25" t="n"/>
      <x:c r="L247" s="22" t="n"/>
      <x:c r="M247" s="22" t="n"/>
      <x:c r="N247" s="22" t="n"/>
      <x:c r="O247" s="22" t="n"/>
      <x:c r="P247" s="25" t="n"/>
      <x:c r="Q247" s="25" t="n"/>
      <x:c r="R247" s="25" t="n"/>
      <x:c r="S247" s="22" t="n"/>
      <x:c r="T247" s="23" t="n"/>
      <x:c r="U247" s="25" t="n"/>
      <x:c r="V247" s="25" t="n"/>
      <x:c r="W247" s="25">
        <x:f>IF(OR(AND(OR(O247="DELIVERED",O247="PARTIAL"),J247&lt;&gt;TRUE),AND(OR(E247="CASH",E247="DAY CHEQUE",E247="POST DATED CHQ"),I247&lt;&gt;TRUE),AND(OR(E247="CASH",E247="DAY CHEQUE",E247="POST DATED CHQ"),K247&lt;&gt;TRUE),AND(E247="POST DATED CHQ",ISBLANK(M247)),P247=TRUE,Q247=TRUE,AND(R247=TRUE,OR(ISBLANK(S247),ISBLANK(T247))),AND(E247="ONLINE",V247&lt;&gt;TRUE),AND(I247=TRUE,U247&lt;&gt;TRUE)),TRUE,FALSE)</x:f>
      </x:c>
      <x:c r="X247" s="22" t="n"/>
    </x:row>
    <x:row r="248">
      <x:c r="A248" s="22" t="n"/>
      <x:c r="B248" s="22" t="n"/>
      <x:c r="C248" s="22" t="n"/>
      <x:c r="D248" s="22" t="n"/>
      <x:c r="E248" s="22" t="n"/>
      <x:c r="F248" s="23" t="n"/>
      <x:c r="G248" s="23" t="n"/>
      <x:c r="H248" s="24">
        <x:f>IF(OR(ISBLANK(F248),ISBLANK(G248)),"",G248-F248)</x:f>
      </x:c>
      <x:c r="I248" s="25" t="n"/>
      <x:c r="J248" s="25" t="n"/>
      <x:c r="K248" s="25" t="n"/>
      <x:c r="L248" s="22" t="n"/>
      <x:c r="M248" s="22" t="n"/>
      <x:c r="N248" s="22" t="n"/>
      <x:c r="O248" s="22" t="n"/>
      <x:c r="P248" s="25" t="n"/>
      <x:c r="Q248" s="25" t="n"/>
      <x:c r="R248" s="25" t="n"/>
      <x:c r="S248" s="22" t="n"/>
      <x:c r="T248" s="23" t="n"/>
      <x:c r="U248" s="25" t="n"/>
      <x:c r="V248" s="25" t="n"/>
      <x:c r="W248" s="25">
        <x:f>IF(OR(AND(OR(O248="DELIVERED",O248="PARTIAL"),J248&lt;&gt;TRUE),AND(OR(E248="CASH",E248="DAY CHEQUE",E248="POST DATED CHQ"),I248&lt;&gt;TRUE),AND(OR(E248="CASH",E248="DAY CHEQUE",E248="POST DATED CHQ"),K248&lt;&gt;TRUE),AND(E248="POST DATED CHQ",ISBLANK(M248)),P248=TRUE,Q248=TRUE,AND(R248=TRUE,OR(ISBLANK(S248),ISBLANK(T248))),AND(E248="ONLINE",V248&lt;&gt;TRUE),AND(I248=TRUE,U248&lt;&gt;TRUE)),TRUE,FALSE)</x:f>
      </x:c>
      <x:c r="X248" s="22" t="n"/>
    </x:row>
    <x:row r="249">
      <x:c r="A249" s="22" t="n"/>
      <x:c r="B249" s="22" t="n"/>
      <x:c r="C249" s="22" t="n"/>
      <x:c r="D249" s="22" t="n"/>
      <x:c r="E249" s="22" t="n"/>
      <x:c r="F249" s="23" t="n"/>
      <x:c r="G249" s="23" t="n"/>
      <x:c r="H249" s="24">
        <x:f>IF(OR(ISBLANK(F249),ISBLANK(G249)),"",G249-F249)</x:f>
      </x:c>
      <x:c r="I249" s="25" t="n"/>
      <x:c r="J249" s="25" t="n"/>
      <x:c r="K249" s="25" t="n"/>
      <x:c r="L249" s="22" t="n"/>
      <x:c r="M249" s="22" t="n"/>
      <x:c r="N249" s="22" t="n"/>
      <x:c r="O249" s="22" t="n"/>
      <x:c r="P249" s="25" t="n"/>
      <x:c r="Q249" s="25" t="n"/>
      <x:c r="R249" s="25" t="n"/>
      <x:c r="S249" s="22" t="n"/>
      <x:c r="T249" s="23" t="n"/>
      <x:c r="U249" s="25" t="n"/>
      <x:c r="V249" s="25" t="n"/>
      <x:c r="W249" s="25">
        <x:f>IF(OR(AND(OR(O249="DELIVERED",O249="PARTIAL"),J249&lt;&gt;TRUE),AND(OR(E249="CASH",E249="DAY CHEQUE",E249="POST DATED CHQ"),I249&lt;&gt;TRUE),AND(OR(E249="CASH",E249="DAY CHEQUE",E249="POST DATED CHQ"),K249&lt;&gt;TRUE),AND(E249="POST DATED CHQ",ISBLANK(M249)),P249=TRUE,Q249=TRUE,AND(R249=TRUE,OR(ISBLANK(S249),ISBLANK(T249))),AND(E249="ONLINE",V249&lt;&gt;TRUE),AND(I249=TRUE,U249&lt;&gt;TRUE)),TRUE,FALSE)</x:f>
      </x:c>
      <x:c r="X249" s="22" t="n"/>
    </x:row>
    <x:row r="250">
      <x:c r="A250" s="22" t="n"/>
      <x:c r="B250" s="22" t="n"/>
      <x:c r="C250" s="22" t="n"/>
      <x:c r="D250" s="22" t="n"/>
      <x:c r="E250" s="22" t="n"/>
      <x:c r="F250" s="23" t="n"/>
      <x:c r="G250" s="23" t="n"/>
      <x:c r="H250" s="24">
        <x:f>IF(OR(ISBLANK(F250),ISBLANK(G250)),"",G250-F250)</x:f>
      </x:c>
      <x:c r="I250" s="25" t="n"/>
      <x:c r="J250" s="25" t="n"/>
      <x:c r="K250" s="25" t="n"/>
      <x:c r="L250" s="22" t="n"/>
      <x:c r="M250" s="22" t="n"/>
      <x:c r="N250" s="22" t="n"/>
      <x:c r="O250" s="22" t="n"/>
      <x:c r="P250" s="25" t="n"/>
      <x:c r="Q250" s="25" t="n"/>
      <x:c r="R250" s="25" t="n"/>
      <x:c r="S250" s="22" t="n"/>
      <x:c r="T250" s="23" t="n"/>
      <x:c r="U250" s="25" t="n"/>
      <x:c r="V250" s="25" t="n"/>
      <x:c r="W250" s="25">
        <x:f>IF(OR(AND(OR(O250="DELIVERED",O250="PARTIAL"),J250&lt;&gt;TRUE),AND(OR(E250="CASH",E250="DAY CHEQUE",E250="POST DATED CHQ"),I250&lt;&gt;TRUE),AND(OR(E250="CASH",E250="DAY CHEQUE",E250="POST DATED CHQ"),K250&lt;&gt;TRUE),AND(E250="POST DATED CHQ",ISBLANK(M250)),P250=TRUE,Q250=TRUE,AND(R250=TRUE,OR(ISBLANK(S250),ISBLANK(T250))),AND(E250="ONLINE",V250&lt;&gt;TRUE),AND(I250=TRUE,U250&lt;&gt;TRUE)),TRUE,FALSE)</x:f>
      </x:c>
      <x:c r="X250" s="22" t="n"/>
    </x:row>
    <x:row r="251">
      <x:c r="A251" s="22" t="n"/>
      <x:c r="B251" s="22" t="n"/>
      <x:c r="C251" s="22" t="n"/>
      <x:c r="D251" s="22" t="n"/>
      <x:c r="E251" s="22" t="n"/>
      <x:c r="F251" s="23" t="n"/>
      <x:c r="G251" s="23" t="n"/>
      <x:c r="H251" s="24">
        <x:f>IF(OR(ISBLANK(F251),ISBLANK(G251)),"",G251-F251)</x:f>
      </x:c>
      <x:c r="I251" s="25" t="n"/>
      <x:c r="J251" s="25" t="n"/>
      <x:c r="K251" s="25" t="n"/>
      <x:c r="L251" s="22" t="n"/>
      <x:c r="M251" s="22" t="n"/>
      <x:c r="N251" s="22" t="n"/>
      <x:c r="O251" s="22" t="n"/>
      <x:c r="P251" s="25" t="n"/>
      <x:c r="Q251" s="25" t="n"/>
      <x:c r="R251" s="25" t="n"/>
      <x:c r="S251" s="22" t="n"/>
      <x:c r="T251" s="23" t="n"/>
      <x:c r="U251" s="25" t="n"/>
      <x:c r="V251" s="25" t="n"/>
      <x:c r="W251" s="25">
        <x:f>IF(OR(AND(OR(O251="DELIVERED",O251="PARTIAL"),J251&lt;&gt;TRUE),AND(OR(E251="CASH",E251="DAY CHEQUE",E251="POST DATED CHQ"),I251&lt;&gt;TRUE),AND(OR(E251="CASH",E251="DAY CHEQUE",E251="POST DATED CHQ"),K251&lt;&gt;TRUE),AND(E251="POST DATED CHQ",ISBLANK(M251)),P251=TRUE,Q251=TRUE,AND(R251=TRUE,OR(ISBLANK(S251),ISBLANK(T251))),AND(E251="ONLINE",V251&lt;&gt;TRUE),AND(I251=TRUE,U251&lt;&gt;TRUE)),TRUE,FALSE)</x:f>
      </x:c>
      <x:c r="X251" s="22" t="n"/>
    </x:row>
    <x:row r="252">
      <x:c r="A252" s="22" t="n"/>
      <x:c r="B252" s="22" t="n"/>
      <x:c r="C252" s="22" t="n"/>
      <x:c r="D252" s="22" t="n"/>
      <x:c r="E252" s="22" t="n"/>
      <x:c r="F252" s="23" t="n"/>
      <x:c r="G252" s="23" t="n"/>
      <x:c r="H252" s="24">
        <x:f>IF(OR(ISBLANK(F252),ISBLANK(G252)),"",G252-F252)</x:f>
      </x:c>
      <x:c r="I252" s="25" t="n"/>
      <x:c r="J252" s="25" t="n"/>
      <x:c r="K252" s="25" t="n"/>
      <x:c r="L252" s="22" t="n"/>
      <x:c r="M252" s="22" t="n"/>
      <x:c r="N252" s="22" t="n"/>
      <x:c r="O252" s="22" t="n"/>
      <x:c r="P252" s="25" t="n"/>
      <x:c r="Q252" s="25" t="n"/>
      <x:c r="R252" s="25" t="n"/>
      <x:c r="S252" s="22" t="n"/>
      <x:c r="T252" s="23" t="n"/>
      <x:c r="U252" s="25" t="n"/>
      <x:c r="V252" s="25" t="n"/>
      <x:c r="W252" s="25">
        <x:f>IF(OR(AND(OR(O252="DELIVERED",O252="PARTIAL"),J252&lt;&gt;TRUE),AND(OR(E252="CASH",E252="DAY CHEQUE",E252="POST DATED CHQ"),I252&lt;&gt;TRUE),AND(OR(E252="CASH",E252="DAY CHEQUE",E252="POST DATED CHQ"),K252&lt;&gt;TRUE),AND(E252="POST DATED CHQ",ISBLANK(M252)),P252=TRUE,Q252=TRUE,AND(R252=TRUE,OR(ISBLANK(S252),ISBLANK(T252))),AND(E252="ONLINE",V252&lt;&gt;TRUE),AND(I252=TRUE,U252&lt;&gt;TRUE)),TRUE,FALSE)</x:f>
      </x:c>
      <x:c r="X252" s="22" t="n"/>
    </x:row>
    <x:row r="253">
      <x:c r="A253" s="22" t="n"/>
      <x:c r="B253" s="22" t="n"/>
      <x:c r="C253" s="22" t="n"/>
      <x:c r="D253" s="22" t="n"/>
      <x:c r="E253" s="22" t="n"/>
      <x:c r="F253" s="23" t="n"/>
      <x:c r="G253" s="23" t="n"/>
      <x:c r="H253" s="24">
        <x:f>IF(OR(ISBLANK(F253),ISBLANK(G253)),"",G253-F253)</x:f>
      </x:c>
      <x:c r="I253" s="25" t="n"/>
      <x:c r="J253" s="25" t="n"/>
      <x:c r="K253" s="25" t="n"/>
      <x:c r="L253" s="22" t="n"/>
      <x:c r="M253" s="22" t="n"/>
      <x:c r="N253" s="22" t="n"/>
      <x:c r="O253" s="22" t="n"/>
      <x:c r="P253" s="25" t="n"/>
      <x:c r="Q253" s="25" t="n"/>
      <x:c r="R253" s="25" t="n"/>
      <x:c r="S253" s="22" t="n"/>
      <x:c r="T253" s="23" t="n"/>
      <x:c r="U253" s="25" t="n"/>
      <x:c r="V253" s="25" t="n"/>
      <x:c r="W253" s="25">
        <x:f>IF(OR(AND(OR(O253="DELIVERED",O253="PARTIAL"),J253&lt;&gt;TRUE),AND(OR(E253="CASH",E253="DAY CHEQUE",E253="POST DATED CHQ"),I253&lt;&gt;TRUE),AND(OR(E253="CASH",E253="DAY CHEQUE",E253="POST DATED CHQ"),K253&lt;&gt;TRUE),AND(E253="POST DATED CHQ",ISBLANK(M253)),P253=TRUE,Q253=TRUE,AND(R253=TRUE,OR(ISBLANK(S253),ISBLANK(T253))),AND(E253="ONLINE",V253&lt;&gt;TRUE),AND(I253=TRUE,U253&lt;&gt;TRUE)),TRUE,FALSE)</x:f>
      </x:c>
      <x:c r="X253" s="22" t="n"/>
    </x:row>
    <x:row r="254">
      <x:c r="A254" s="22" t="n"/>
      <x:c r="B254" s="22" t="n"/>
      <x:c r="C254" s="22" t="n"/>
      <x:c r="D254" s="22" t="n"/>
      <x:c r="E254" s="22" t="n"/>
      <x:c r="F254" s="23" t="n"/>
      <x:c r="G254" s="23" t="n"/>
      <x:c r="H254" s="24">
        <x:f>IF(OR(ISBLANK(F254),ISBLANK(G254)),"",G254-F254)</x:f>
      </x:c>
      <x:c r="I254" s="25" t="n"/>
      <x:c r="J254" s="25" t="n"/>
      <x:c r="K254" s="25" t="n"/>
      <x:c r="L254" s="22" t="n"/>
      <x:c r="M254" s="22" t="n"/>
      <x:c r="N254" s="22" t="n"/>
      <x:c r="O254" s="22" t="n"/>
      <x:c r="P254" s="25" t="n"/>
      <x:c r="Q254" s="25" t="n"/>
      <x:c r="R254" s="25" t="n"/>
      <x:c r="S254" s="22" t="n"/>
      <x:c r="T254" s="23" t="n"/>
      <x:c r="U254" s="25" t="n"/>
      <x:c r="V254" s="25" t="n"/>
      <x:c r="W254" s="25">
        <x:f>IF(OR(AND(OR(O254="DELIVERED",O254="PARTIAL"),J254&lt;&gt;TRUE),AND(OR(E254="CASH",E254="DAY CHEQUE",E254="POST DATED CHQ"),I254&lt;&gt;TRUE),AND(OR(E254="CASH",E254="DAY CHEQUE",E254="POST DATED CHQ"),K254&lt;&gt;TRUE),AND(E254="POST DATED CHQ",ISBLANK(M254)),P254=TRUE,Q254=TRUE,AND(R254=TRUE,OR(ISBLANK(S254),ISBLANK(T254))),AND(E254="ONLINE",V254&lt;&gt;TRUE),AND(I254=TRUE,U254&lt;&gt;TRUE)),TRUE,FALSE)</x:f>
      </x:c>
      <x:c r="X254" s="22" t="n"/>
    </x:row>
    <x:row r="255">
      <x:c r="A255" s="22" t="n"/>
      <x:c r="B255" s="22" t="n"/>
      <x:c r="C255" s="22" t="n"/>
      <x:c r="D255" s="22" t="n"/>
      <x:c r="E255" s="22" t="n"/>
      <x:c r="F255" s="23" t="n"/>
      <x:c r="G255" s="23" t="n"/>
      <x:c r="H255" s="24">
        <x:f>IF(OR(ISBLANK(F255),ISBLANK(G255)),"",G255-F255)</x:f>
      </x:c>
      <x:c r="I255" s="25" t="n"/>
      <x:c r="J255" s="25" t="n"/>
      <x:c r="K255" s="25" t="n"/>
      <x:c r="L255" s="22" t="n"/>
      <x:c r="M255" s="22" t="n"/>
      <x:c r="N255" s="22" t="n"/>
      <x:c r="O255" s="22" t="n"/>
      <x:c r="P255" s="25" t="n"/>
      <x:c r="Q255" s="25" t="n"/>
      <x:c r="R255" s="25" t="n"/>
      <x:c r="S255" s="22" t="n"/>
      <x:c r="T255" s="23" t="n"/>
      <x:c r="U255" s="25" t="n"/>
      <x:c r="V255" s="25" t="n"/>
      <x:c r="W255" s="25">
        <x:f>IF(OR(AND(OR(O255="DELIVERED",O255="PARTIAL"),J255&lt;&gt;TRUE),AND(OR(E255="CASH",E255="DAY CHEQUE",E255="POST DATED CHQ"),I255&lt;&gt;TRUE),AND(OR(E255="CASH",E255="DAY CHEQUE",E255="POST DATED CHQ"),K255&lt;&gt;TRUE),AND(E255="POST DATED CHQ",ISBLANK(M255)),P255=TRUE,Q255=TRUE,AND(R255=TRUE,OR(ISBLANK(S255),ISBLANK(T255))),AND(E255="ONLINE",V255&lt;&gt;TRUE),AND(I255=TRUE,U255&lt;&gt;TRUE)),TRUE,FALSE)</x:f>
      </x:c>
      <x:c r="X255" s="22" t="n"/>
    </x:row>
    <x:row r="256">
      <x:c r="A256" s="22" t="n"/>
      <x:c r="B256" s="22" t="n"/>
      <x:c r="C256" s="22" t="n"/>
      <x:c r="D256" s="22" t="n"/>
      <x:c r="E256" s="22" t="n"/>
      <x:c r="F256" s="23" t="n"/>
      <x:c r="G256" s="23" t="n"/>
      <x:c r="H256" s="24">
        <x:f>IF(OR(ISBLANK(F256),ISBLANK(G256)),"",G256-F256)</x:f>
      </x:c>
      <x:c r="I256" s="25" t="n"/>
      <x:c r="J256" s="25" t="n"/>
      <x:c r="K256" s="25" t="n"/>
      <x:c r="L256" s="22" t="n"/>
      <x:c r="M256" s="22" t="n"/>
      <x:c r="N256" s="22" t="n"/>
      <x:c r="O256" s="22" t="n"/>
      <x:c r="P256" s="25" t="n"/>
      <x:c r="Q256" s="25" t="n"/>
      <x:c r="R256" s="25" t="n"/>
      <x:c r="S256" s="22" t="n"/>
      <x:c r="T256" s="23" t="n"/>
      <x:c r="U256" s="25" t="n"/>
      <x:c r="V256" s="25" t="n"/>
      <x:c r="W256" s="25">
        <x:f>IF(OR(AND(OR(O256="DELIVERED",O256="PARTIAL"),J256&lt;&gt;TRUE),AND(OR(E256="CASH",E256="DAY CHEQUE",E256="POST DATED CHQ"),I256&lt;&gt;TRUE),AND(OR(E256="CASH",E256="DAY CHEQUE",E256="POST DATED CHQ"),K256&lt;&gt;TRUE),AND(E256="POST DATED CHQ",ISBLANK(M256)),P256=TRUE,Q256=TRUE,AND(R256=TRUE,OR(ISBLANK(S256),ISBLANK(T256))),AND(E256="ONLINE",V256&lt;&gt;TRUE),AND(I256=TRUE,U256&lt;&gt;TRUE)),TRUE,FALSE)</x:f>
      </x:c>
      <x:c r="X256" s="22" t="n"/>
    </x:row>
    <x:row r="257">
      <x:c r="A257" s="22" t="n"/>
      <x:c r="B257" s="22" t="n"/>
      <x:c r="C257" s="22" t="n"/>
      <x:c r="D257" s="22" t="n"/>
      <x:c r="E257" s="22" t="n"/>
      <x:c r="F257" s="23" t="n"/>
      <x:c r="G257" s="23" t="n"/>
      <x:c r="H257" s="24">
        <x:f>IF(OR(ISBLANK(F257),ISBLANK(G257)),"",G257-F257)</x:f>
      </x:c>
      <x:c r="I257" s="25" t="n"/>
      <x:c r="J257" s="25" t="n"/>
      <x:c r="K257" s="25" t="n"/>
      <x:c r="L257" s="22" t="n"/>
      <x:c r="M257" s="22" t="n"/>
      <x:c r="N257" s="22" t="n"/>
      <x:c r="O257" s="22" t="n"/>
      <x:c r="P257" s="25" t="n"/>
      <x:c r="Q257" s="25" t="n"/>
      <x:c r="R257" s="25" t="n"/>
      <x:c r="S257" s="22" t="n"/>
      <x:c r="T257" s="23" t="n"/>
      <x:c r="U257" s="25" t="n"/>
      <x:c r="V257" s="25" t="n"/>
      <x:c r="W257" s="25">
        <x:f>IF(OR(AND(OR(O257="DELIVERED",O257="PARTIAL"),J257&lt;&gt;TRUE),AND(OR(E257="CASH",E257="DAY CHEQUE",E257="POST DATED CHQ"),I257&lt;&gt;TRUE),AND(OR(E257="CASH",E257="DAY CHEQUE",E257="POST DATED CHQ"),K257&lt;&gt;TRUE),AND(E257="POST DATED CHQ",ISBLANK(M257)),P257=TRUE,Q257=TRUE,AND(R257=TRUE,OR(ISBLANK(S257),ISBLANK(T257))),AND(E257="ONLINE",V257&lt;&gt;TRUE),AND(I257=TRUE,U257&lt;&gt;TRUE)),TRUE,FALSE)</x:f>
      </x:c>
      <x:c r="X257" s="22" t="n"/>
    </x:row>
    <x:row r="258">
      <x:c r="A258" s="22" t="n"/>
      <x:c r="B258" s="22" t="n"/>
      <x:c r="C258" s="22" t="n"/>
      <x:c r="D258" s="22" t="n"/>
      <x:c r="E258" s="22" t="n"/>
      <x:c r="F258" s="23" t="n"/>
      <x:c r="G258" s="23" t="n"/>
      <x:c r="H258" s="24">
        <x:f>IF(OR(ISBLANK(F258),ISBLANK(G258)),"",G258-F258)</x:f>
      </x:c>
      <x:c r="I258" s="25" t="n"/>
      <x:c r="J258" s="25" t="n"/>
      <x:c r="K258" s="25" t="n"/>
      <x:c r="L258" s="22" t="n"/>
      <x:c r="M258" s="22" t="n"/>
      <x:c r="N258" s="22" t="n"/>
      <x:c r="O258" s="22" t="n"/>
      <x:c r="P258" s="25" t="n"/>
      <x:c r="Q258" s="25" t="n"/>
      <x:c r="R258" s="25" t="n"/>
      <x:c r="S258" s="22" t="n"/>
      <x:c r="T258" s="23" t="n"/>
      <x:c r="U258" s="25" t="n"/>
      <x:c r="V258" s="25" t="n"/>
      <x:c r="W258" s="25">
        <x:f>IF(OR(AND(OR(O258="DELIVERED",O258="PARTIAL"),J258&lt;&gt;TRUE),AND(OR(E258="CASH",E258="DAY CHEQUE",E258="POST DATED CHQ"),I258&lt;&gt;TRUE),AND(OR(E258="CASH",E258="DAY CHEQUE",E258="POST DATED CHQ"),K258&lt;&gt;TRUE),AND(E258="POST DATED CHQ",ISBLANK(M258)),P258=TRUE,Q258=TRUE,AND(R258=TRUE,OR(ISBLANK(S258),ISBLANK(T258))),AND(E258="ONLINE",V258&lt;&gt;TRUE),AND(I258=TRUE,U258&lt;&gt;TRUE)),TRUE,FALSE)</x:f>
      </x:c>
      <x:c r="X258" s="22" t="n"/>
    </x:row>
    <x:row r="259">
      <x:c r="A259" s="22" t="n"/>
      <x:c r="B259" s="22" t="n"/>
      <x:c r="C259" s="22" t="n"/>
      <x:c r="D259" s="22" t="n"/>
      <x:c r="E259" s="22" t="n"/>
      <x:c r="F259" s="23" t="n"/>
      <x:c r="G259" s="23" t="n"/>
      <x:c r="H259" s="24">
        <x:f>IF(OR(ISBLANK(F259),ISBLANK(G259)),"",G259-F259)</x:f>
      </x:c>
      <x:c r="I259" s="25" t="n"/>
      <x:c r="J259" s="25" t="n"/>
      <x:c r="K259" s="25" t="n"/>
      <x:c r="L259" s="22" t="n"/>
      <x:c r="M259" s="22" t="n"/>
      <x:c r="N259" s="22" t="n"/>
      <x:c r="O259" s="22" t="n"/>
      <x:c r="P259" s="25" t="n"/>
      <x:c r="Q259" s="25" t="n"/>
      <x:c r="R259" s="25" t="n"/>
      <x:c r="S259" s="22" t="n"/>
      <x:c r="T259" s="23" t="n"/>
      <x:c r="U259" s="25" t="n"/>
      <x:c r="V259" s="25" t="n"/>
      <x:c r="W259" s="25">
        <x:f>IF(OR(AND(OR(O259="DELIVERED",O259="PARTIAL"),J259&lt;&gt;TRUE),AND(OR(E259="CASH",E259="DAY CHEQUE",E259="POST DATED CHQ"),I259&lt;&gt;TRUE),AND(OR(E259="CASH",E259="DAY CHEQUE",E259="POST DATED CHQ"),K259&lt;&gt;TRUE),AND(E259="POST DATED CHQ",ISBLANK(M259)),P259=TRUE,Q259=TRUE,AND(R259=TRUE,OR(ISBLANK(S259),ISBLANK(T259))),AND(E259="ONLINE",V259&lt;&gt;TRUE),AND(I259=TRUE,U259&lt;&gt;TRUE)),TRUE,FALSE)</x:f>
      </x:c>
      <x:c r="X259" s="22" t="n"/>
    </x:row>
    <x:row r="260">
      <x:c r="A260" s="22" t="n"/>
      <x:c r="B260" s="22" t="n"/>
      <x:c r="C260" s="22" t="n"/>
      <x:c r="D260" s="22" t="n"/>
      <x:c r="E260" s="22" t="n"/>
      <x:c r="F260" s="23" t="n"/>
      <x:c r="G260" s="23" t="n"/>
      <x:c r="H260" s="24">
        <x:f>IF(OR(ISBLANK(F260),ISBLANK(G260)),"",G260-F260)</x:f>
      </x:c>
      <x:c r="I260" s="25" t="n"/>
      <x:c r="J260" s="25" t="n"/>
      <x:c r="K260" s="25" t="n"/>
      <x:c r="L260" s="22" t="n"/>
      <x:c r="M260" s="22" t="n"/>
      <x:c r="N260" s="22" t="n"/>
      <x:c r="O260" s="22" t="n"/>
      <x:c r="P260" s="25" t="n"/>
      <x:c r="Q260" s="25" t="n"/>
      <x:c r="R260" s="25" t="n"/>
      <x:c r="S260" s="22" t="n"/>
      <x:c r="T260" s="23" t="n"/>
      <x:c r="U260" s="25" t="n"/>
      <x:c r="V260" s="25" t="n"/>
      <x:c r="W260" s="25">
        <x:f>IF(OR(AND(OR(O260="DELIVERED",O260="PARTIAL"),J260&lt;&gt;TRUE),AND(OR(E260="CASH",E260="DAY CHEQUE",E260="POST DATED CHQ"),I260&lt;&gt;TRUE),AND(OR(E260="CASH",E260="DAY CHEQUE",E260="POST DATED CHQ"),K260&lt;&gt;TRUE),AND(E260="POST DATED CHQ",ISBLANK(M260)),P260=TRUE,Q260=TRUE,AND(R260=TRUE,OR(ISBLANK(S260),ISBLANK(T260))),AND(E260="ONLINE",V260&lt;&gt;TRUE),AND(I260=TRUE,U260&lt;&gt;TRUE)),TRUE,FALSE)</x:f>
      </x:c>
      <x:c r="X260" s="22" t="n"/>
    </x:row>
    <x:row r="261">
      <x:c r="A261" s="22" t="n"/>
      <x:c r="B261" s="22" t="n"/>
      <x:c r="C261" s="22" t="n"/>
      <x:c r="D261" s="22" t="n"/>
      <x:c r="E261" s="22" t="n"/>
      <x:c r="F261" s="23" t="n"/>
      <x:c r="G261" s="23" t="n"/>
      <x:c r="H261" s="24">
        <x:f>IF(OR(ISBLANK(F261),ISBLANK(G261)),"",G261-F261)</x:f>
      </x:c>
      <x:c r="I261" s="25" t="n"/>
      <x:c r="J261" s="25" t="n"/>
      <x:c r="K261" s="25" t="n"/>
      <x:c r="L261" s="22" t="n"/>
      <x:c r="M261" s="22" t="n"/>
      <x:c r="N261" s="22" t="n"/>
      <x:c r="O261" s="22" t="n"/>
      <x:c r="P261" s="25" t="n"/>
      <x:c r="Q261" s="25" t="n"/>
      <x:c r="R261" s="25" t="n"/>
      <x:c r="S261" s="22" t="n"/>
      <x:c r="T261" s="23" t="n"/>
      <x:c r="U261" s="25" t="n"/>
      <x:c r="V261" s="25" t="n"/>
      <x:c r="W261" s="25">
        <x:f>IF(OR(AND(OR(O261="DELIVERED",O261="PARTIAL"),J261&lt;&gt;TRUE),AND(OR(E261="CASH",E261="DAY CHEQUE",E261="POST DATED CHQ"),I261&lt;&gt;TRUE),AND(OR(E261="CASH",E261="DAY CHEQUE",E261="POST DATED CHQ"),K261&lt;&gt;TRUE),AND(E261="POST DATED CHQ",ISBLANK(M261)),P261=TRUE,Q261=TRUE,AND(R261=TRUE,OR(ISBLANK(S261),ISBLANK(T261))),AND(E261="ONLINE",V261&lt;&gt;TRUE),AND(I261=TRUE,U261&lt;&gt;TRUE)),TRUE,FALSE)</x:f>
      </x:c>
      <x:c r="X261" s="22" t="n"/>
    </x:row>
    <x:row r="262">
      <x:c r="A262" s="22" t="n"/>
      <x:c r="B262" s="22" t="n"/>
      <x:c r="C262" s="22" t="n"/>
      <x:c r="D262" s="22" t="n"/>
      <x:c r="E262" s="22" t="n"/>
      <x:c r="F262" s="23" t="n"/>
      <x:c r="G262" s="23" t="n"/>
      <x:c r="H262" s="24">
        <x:f>IF(OR(ISBLANK(F262),ISBLANK(G262)),"",G262-F262)</x:f>
      </x:c>
      <x:c r="I262" s="25" t="n"/>
      <x:c r="J262" s="25" t="n"/>
      <x:c r="K262" s="25" t="n"/>
      <x:c r="L262" s="22" t="n"/>
      <x:c r="M262" s="22" t="n"/>
      <x:c r="N262" s="22" t="n"/>
      <x:c r="O262" s="22" t="n"/>
      <x:c r="P262" s="25" t="n"/>
      <x:c r="Q262" s="25" t="n"/>
      <x:c r="R262" s="25" t="n"/>
      <x:c r="S262" s="22" t="n"/>
      <x:c r="T262" s="23" t="n"/>
      <x:c r="U262" s="25" t="n"/>
      <x:c r="V262" s="25" t="n"/>
      <x:c r="W262" s="25">
        <x:f>IF(OR(AND(OR(O262="DELIVERED",O262="PARTIAL"),J262&lt;&gt;TRUE),AND(OR(E262="CASH",E262="DAY CHEQUE",E262="POST DATED CHQ"),I262&lt;&gt;TRUE),AND(OR(E262="CASH",E262="DAY CHEQUE",E262="POST DATED CHQ"),K262&lt;&gt;TRUE),AND(E262="POST DATED CHQ",ISBLANK(M262)),P262=TRUE,Q262=TRUE,AND(R262=TRUE,OR(ISBLANK(S262),ISBLANK(T262))),AND(E262="ONLINE",V262&lt;&gt;TRUE),AND(I262=TRUE,U262&lt;&gt;TRUE)),TRUE,FALSE)</x:f>
      </x:c>
      <x:c r="X262" s="22" t="n"/>
    </x:row>
    <x:row r="263">
      <x:c r="A263" s="22" t="n"/>
      <x:c r="B263" s="22" t="n"/>
      <x:c r="C263" s="22" t="n"/>
      <x:c r="D263" s="22" t="n"/>
      <x:c r="E263" s="22" t="n"/>
      <x:c r="F263" s="23" t="n"/>
      <x:c r="G263" s="23" t="n"/>
      <x:c r="H263" s="24">
        <x:f>IF(OR(ISBLANK(F263),ISBLANK(G263)),"",G263-F263)</x:f>
      </x:c>
      <x:c r="I263" s="25" t="n"/>
      <x:c r="J263" s="25" t="n"/>
      <x:c r="K263" s="25" t="n"/>
      <x:c r="L263" s="22" t="n"/>
      <x:c r="M263" s="22" t="n"/>
      <x:c r="N263" s="22" t="n"/>
      <x:c r="O263" s="22" t="n"/>
      <x:c r="P263" s="25" t="n"/>
      <x:c r="Q263" s="25" t="n"/>
      <x:c r="R263" s="25" t="n"/>
      <x:c r="S263" s="22" t="n"/>
      <x:c r="T263" s="23" t="n"/>
      <x:c r="U263" s="25" t="n"/>
      <x:c r="V263" s="25" t="n"/>
      <x:c r="W263" s="25">
        <x:f>IF(OR(AND(OR(O263="DELIVERED",O263="PARTIAL"),J263&lt;&gt;TRUE),AND(OR(E263="CASH",E263="DAY CHEQUE",E263="POST DATED CHQ"),I263&lt;&gt;TRUE),AND(OR(E263="CASH",E263="DAY CHEQUE",E263="POST DATED CHQ"),K263&lt;&gt;TRUE),AND(E263="POST DATED CHQ",ISBLANK(M263)),P263=TRUE,Q263=TRUE,AND(R263=TRUE,OR(ISBLANK(S263),ISBLANK(T263))),AND(E263="ONLINE",V263&lt;&gt;TRUE),AND(I263=TRUE,U263&lt;&gt;TRUE)),TRUE,FALSE)</x:f>
      </x:c>
      <x:c r="X263" s="22" t="n"/>
    </x:row>
    <x:row r="264">
      <x:c r="A264" s="22" t="n"/>
      <x:c r="B264" s="22" t="n"/>
      <x:c r="C264" s="22" t="n"/>
      <x:c r="D264" s="22" t="n"/>
      <x:c r="E264" s="22" t="n"/>
      <x:c r="F264" s="23" t="n"/>
      <x:c r="G264" s="23" t="n"/>
      <x:c r="H264" s="24">
        <x:f>IF(OR(ISBLANK(F264),ISBLANK(G264)),"",G264-F264)</x:f>
      </x:c>
      <x:c r="I264" s="25" t="n"/>
      <x:c r="J264" s="25" t="n"/>
      <x:c r="K264" s="25" t="n"/>
      <x:c r="L264" s="22" t="n"/>
      <x:c r="M264" s="22" t="n"/>
      <x:c r="N264" s="22" t="n"/>
      <x:c r="O264" s="22" t="n"/>
      <x:c r="P264" s="25" t="n"/>
      <x:c r="Q264" s="25" t="n"/>
      <x:c r="R264" s="25" t="n"/>
      <x:c r="S264" s="22" t="n"/>
      <x:c r="T264" s="23" t="n"/>
      <x:c r="U264" s="25" t="n"/>
      <x:c r="V264" s="25" t="n"/>
      <x:c r="W264" s="25">
        <x:f>IF(OR(AND(OR(O264="DELIVERED",O264="PARTIAL"),J264&lt;&gt;TRUE),AND(OR(E264="CASH",E264="DAY CHEQUE",E264="POST DATED CHQ"),I264&lt;&gt;TRUE),AND(OR(E264="CASH",E264="DAY CHEQUE",E264="POST DATED CHQ"),K264&lt;&gt;TRUE),AND(E264="POST DATED CHQ",ISBLANK(M264)),P264=TRUE,Q264=TRUE,AND(R264=TRUE,OR(ISBLANK(S264),ISBLANK(T264))),AND(E264="ONLINE",V264&lt;&gt;TRUE),AND(I264=TRUE,U264&lt;&gt;TRUE)),TRUE,FALSE)</x:f>
      </x:c>
      <x:c r="X264" s="22" t="n"/>
    </x:row>
    <x:row r="265">
      <x:c r="A265" s="22" t="n"/>
      <x:c r="B265" s="22" t="n"/>
      <x:c r="C265" s="22" t="n"/>
      <x:c r="D265" s="22" t="n"/>
      <x:c r="E265" s="22" t="n"/>
      <x:c r="F265" s="23" t="n"/>
      <x:c r="G265" s="23" t="n"/>
      <x:c r="H265" s="24">
        <x:f>IF(OR(ISBLANK(F265),ISBLANK(G265)),"",G265-F265)</x:f>
      </x:c>
      <x:c r="I265" s="25" t="n"/>
      <x:c r="J265" s="25" t="n"/>
      <x:c r="K265" s="25" t="n"/>
      <x:c r="L265" s="22" t="n"/>
      <x:c r="M265" s="22" t="n"/>
      <x:c r="N265" s="22" t="n"/>
      <x:c r="O265" s="22" t="n"/>
      <x:c r="P265" s="25" t="n"/>
      <x:c r="Q265" s="25" t="n"/>
      <x:c r="R265" s="25" t="n"/>
      <x:c r="S265" s="22" t="n"/>
      <x:c r="T265" s="23" t="n"/>
      <x:c r="U265" s="25" t="n"/>
      <x:c r="V265" s="25" t="n"/>
      <x:c r="W265" s="25">
        <x:f>IF(OR(AND(OR(O265="DELIVERED",O265="PARTIAL"),J265&lt;&gt;TRUE),AND(OR(E265="CASH",E265="DAY CHEQUE",E265="POST DATED CHQ"),I265&lt;&gt;TRUE),AND(OR(E265="CASH",E265="DAY CHEQUE",E265="POST DATED CHQ"),K265&lt;&gt;TRUE),AND(E265="POST DATED CHQ",ISBLANK(M265)),P265=TRUE,Q265=TRUE,AND(R265=TRUE,OR(ISBLANK(S265),ISBLANK(T265))),AND(E265="ONLINE",V265&lt;&gt;TRUE),AND(I265=TRUE,U265&lt;&gt;TRUE)),TRUE,FALSE)</x:f>
      </x:c>
      <x:c r="X265" s="22" t="n"/>
    </x:row>
    <x:row r="266">
      <x:c r="A266" s="22" t="n"/>
      <x:c r="B266" s="22" t="n"/>
      <x:c r="C266" s="22" t="n"/>
      <x:c r="D266" s="22" t="n"/>
      <x:c r="E266" s="22" t="n"/>
      <x:c r="F266" s="23" t="n"/>
      <x:c r="G266" s="23" t="n"/>
      <x:c r="H266" s="24">
        <x:f>IF(OR(ISBLANK(F266),ISBLANK(G266)),"",G266-F266)</x:f>
      </x:c>
      <x:c r="I266" s="25" t="n"/>
      <x:c r="J266" s="25" t="n"/>
      <x:c r="K266" s="25" t="n"/>
      <x:c r="L266" s="22" t="n"/>
      <x:c r="M266" s="22" t="n"/>
      <x:c r="N266" s="22" t="n"/>
      <x:c r="O266" s="22" t="n"/>
      <x:c r="P266" s="25" t="n"/>
      <x:c r="Q266" s="25" t="n"/>
      <x:c r="R266" s="25" t="n"/>
      <x:c r="S266" s="22" t="n"/>
      <x:c r="T266" s="23" t="n"/>
      <x:c r="U266" s="25" t="n"/>
      <x:c r="V266" s="25" t="n"/>
      <x:c r="W266" s="25">
        <x:f>IF(OR(AND(OR(O266="DELIVERED",O266="PARTIAL"),J266&lt;&gt;TRUE),AND(OR(E266="CASH",E266="DAY CHEQUE",E266="POST DATED CHQ"),I266&lt;&gt;TRUE),AND(OR(E266="CASH",E266="DAY CHEQUE",E266="POST DATED CHQ"),K266&lt;&gt;TRUE),AND(E266="POST DATED CHQ",ISBLANK(M266)),P266=TRUE,Q266=TRUE,AND(R266=TRUE,OR(ISBLANK(S266),ISBLANK(T266))),AND(E266="ONLINE",V266&lt;&gt;TRUE),AND(I266=TRUE,U266&lt;&gt;TRUE)),TRUE,FALSE)</x:f>
      </x:c>
      <x:c r="X266" s="22" t="n"/>
    </x:row>
    <x:row r="267">
      <x:c r="A267" s="22" t="n"/>
      <x:c r="B267" s="22" t="n"/>
      <x:c r="C267" s="22" t="n"/>
      <x:c r="D267" s="22" t="n"/>
      <x:c r="E267" s="22" t="n"/>
      <x:c r="F267" s="23" t="n"/>
      <x:c r="G267" s="23" t="n"/>
      <x:c r="H267" s="24">
        <x:f>IF(OR(ISBLANK(F267),ISBLANK(G267)),"",G267-F267)</x:f>
      </x:c>
      <x:c r="I267" s="25" t="n"/>
      <x:c r="J267" s="25" t="n"/>
      <x:c r="K267" s="25" t="n"/>
      <x:c r="L267" s="22" t="n"/>
      <x:c r="M267" s="22" t="n"/>
      <x:c r="N267" s="22" t="n"/>
      <x:c r="O267" s="22" t="n"/>
      <x:c r="P267" s="25" t="n"/>
      <x:c r="Q267" s="25" t="n"/>
      <x:c r="R267" s="25" t="n"/>
      <x:c r="S267" s="22" t="n"/>
      <x:c r="T267" s="23" t="n"/>
      <x:c r="U267" s="25" t="n"/>
      <x:c r="V267" s="25" t="n"/>
      <x:c r="W267" s="25">
        <x:f>IF(OR(AND(OR(O267="DELIVERED",O267="PARTIAL"),J267&lt;&gt;TRUE),AND(OR(E267="CASH",E267="DAY CHEQUE",E267="POST DATED CHQ"),I267&lt;&gt;TRUE),AND(OR(E267="CASH",E267="DAY CHEQUE",E267="POST DATED CHQ"),K267&lt;&gt;TRUE),AND(E267="POST DATED CHQ",ISBLANK(M267)),P267=TRUE,Q267=TRUE,AND(R267=TRUE,OR(ISBLANK(S267),ISBLANK(T267))),AND(E267="ONLINE",V267&lt;&gt;TRUE),AND(I267=TRUE,U267&lt;&gt;TRUE)),TRUE,FALSE)</x:f>
      </x:c>
      <x:c r="X267" s="22" t="n"/>
    </x:row>
    <x:row r="268">
      <x:c r="A268" s="22" t="n"/>
      <x:c r="B268" s="22" t="n"/>
      <x:c r="C268" s="22" t="n"/>
      <x:c r="D268" s="22" t="n"/>
      <x:c r="E268" s="22" t="n"/>
      <x:c r="F268" s="23" t="n"/>
      <x:c r="G268" s="23" t="n"/>
      <x:c r="H268" s="24">
        <x:f>IF(OR(ISBLANK(F268),ISBLANK(G268)),"",G268-F268)</x:f>
      </x:c>
      <x:c r="I268" s="25" t="n"/>
      <x:c r="J268" s="25" t="n"/>
      <x:c r="K268" s="25" t="n"/>
      <x:c r="L268" s="22" t="n"/>
      <x:c r="M268" s="22" t="n"/>
      <x:c r="N268" s="22" t="n"/>
      <x:c r="O268" s="22" t="n"/>
      <x:c r="P268" s="25" t="n"/>
      <x:c r="Q268" s="25" t="n"/>
      <x:c r="R268" s="25" t="n"/>
      <x:c r="S268" s="22" t="n"/>
      <x:c r="T268" s="23" t="n"/>
      <x:c r="U268" s="25" t="n"/>
      <x:c r="V268" s="25" t="n"/>
      <x:c r="W268" s="25">
        <x:f>IF(OR(AND(OR(O268="DELIVERED",O268="PARTIAL"),J268&lt;&gt;TRUE),AND(OR(E268="CASH",E268="DAY CHEQUE",E268="POST DATED CHQ"),I268&lt;&gt;TRUE),AND(OR(E268="CASH",E268="DAY CHEQUE",E268="POST DATED CHQ"),K268&lt;&gt;TRUE),AND(E268="POST DATED CHQ",ISBLANK(M268)),P268=TRUE,Q268=TRUE,AND(R268=TRUE,OR(ISBLANK(S268),ISBLANK(T268))),AND(E268="ONLINE",V268&lt;&gt;TRUE),AND(I268=TRUE,U268&lt;&gt;TRUE)),TRUE,FALSE)</x:f>
      </x:c>
      <x:c r="X268" s="22" t="n"/>
    </x:row>
    <x:row r="269">
      <x:c r="A269" s="22" t="n"/>
      <x:c r="B269" s="22" t="n"/>
      <x:c r="C269" s="22" t="n"/>
      <x:c r="D269" s="22" t="n"/>
      <x:c r="E269" s="22" t="n"/>
      <x:c r="F269" s="23" t="n"/>
      <x:c r="G269" s="23" t="n"/>
      <x:c r="H269" s="24">
        <x:f>IF(OR(ISBLANK(F269),ISBLANK(G269)),"",G269-F269)</x:f>
      </x:c>
      <x:c r="I269" s="25" t="n"/>
      <x:c r="J269" s="25" t="n"/>
      <x:c r="K269" s="25" t="n"/>
      <x:c r="L269" s="22" t="n"/>
      <x:c r="M269" s="22" t="n"/>
      <x:c r="N269" s="22" t="n"/>
      <x:c r="O269" s="22" t="n"/>
      <x:c r="P269" s="25" t="n"/>
      <x:c r="Q269" s="25" t="n"/>
      <x:c r="R269" s="25" t="n"/>
      <x:c r="S269" s="22" t="n"/>
      <x:c r="T269" s="23" t="n"/>
      <x:c r="U269" s="25" t="n"/>
      <x:c r="V269" s="25" t="n"/>
      <x:c r="W269" s="25">
        <x:f>IF(OR(AND(OR(O269="DELIVERED",O269="PARTIAL"),J269&lt;&gt;TRUE),AND(OR(E269="CASH",E269="DAY CHEQUE",E269="POST DATED CHQ"),I269&lt;&gt;TRUE),AND(OR(E269="CASH",E269="DAY CHEQUE",E269="POST DATED CHQ"),K269&lt;&gt;TRUE),AND(E269="POST DATED CHQ",ISBLANK(M269)),P269=TRUE,Q269=TRUE,AND(R269=TRUE,OR(ISBLANK(S269),ISBLANK(T269))),AND(E269="ONLINE",V269&lt;&gt;TRUE),AND(I269=TRUE,U269&lt;&gt;TRUE)),TRUE,FALSE)</x:f>
      </x:c>
      <x:c r="X269" s="22" t="n"/>
    </x:row>
    <x:row r="270">
      <x:c r="A270" s="22" t="n"/>
      <x:c r="B270" s="22" t="n"/>
      <x:c r="C270" s="22" t="n"/>
      <x:c r="D270" s="22" t="n"/>
      <x:c r="E270" s="22" t="n"/>
      <x:c r="F270" s="23" t="n"/>
      <x:c r="G270" s="23" t="n"/>
      <x:c r="H270" s="24">
        <x:f>IF(OR(ISBLANK(F270),ISBLANK(G270)),"",G270-F270)</x:f>
      </x:c>
      <x:c r="I270" s="25" t="n"/>
      <x:c r="J270" s="25" t="n"/>
      <x:c r="K270" s="25" t="n"/>
      <x:c r="L270" s="22" t="n"/>
      <x:c r="M270" s="22" t="n"/>
      <x:c r="N270" s="22" t="n"/>
      <x:c r="O270" s="22" t="n"/>
      <x:c r="P270" s="25" t="n"/>
      <x:c r="Q270" s="25" t="n"/>
      <x:c r="R270" s="25" t="n"/>
      <x:c r="S270" s="22" t="n"/>
      <x:c r="T270" s="23" t="n"/>
      <x:c r="U270" s="25" t="n"/>
      <x:c r="V270" s="25" t="n"/>
      <x:c r="W270" s="25">
        <x:f>IF(OR(AND(OR(O270="DELIVERED",O270="PARTIAL"),J270&lt;&gt;TRUE),AND(OR(E270="CASH",E270="DAY CHEQUE",E270="POST DATED CHQ"),I270&lt;&gt;TRUE),AND(OR(E270="CASH",E270="DAY CHEQUE",E270="POST DATED CHQ"),K270&lt;&gt;TRUE),AND(E270="POST DATED CHQ",ISBLANK(M270)),P270=TRUE,Q270=TRUE,AND(R270=TRUE,OR(ISBLANK(S270),ISBLANK(T270))),AND(E270="ONLINE",V270&lt;&gt;TRUE),AND(I270=TRUE,U270&lt;&gt;TRUE)),TRUE,FALSE)</x:f>
      </x:c>
      <x:c r="X270" s="22" t="n"/>
    </x:row>
    <x:row r="271">
      <x:c r="A271" s="22" t="n"/>
      <x:c r="B271" s="22" t="n"/>
      <x:c r="C271" s="22" t="n"/>
      <x:c r="D271" s="22" t="n"/>
      <x:c r="E271" s="22" t="n"/>
      <x:c r="F271" s="23" t="n"/>
      <x:c r="G271" s="23" t="n"/>
      <x:c r="H271" s="24">
        <x:f>IF(OR(ISBLANK(F271),ISBLANK(G271)),"",G271-F271)</x:f>
      </x:c>
      <x:c r="I271" s="25" t="n"/>
      <x:c r="J271" s="25" t="n"/>
      <x:c r="K271" s="25" t="n"/>
      <x:c r="L271" s="22" t="n"/>
      <x:c r="M271" s="22" t="n"/>
      <x:c r="N271" s="22" t="n"/>
      <x:c r="O271" s="22" t="n"/>
      <x:c r="P271" s="25" t="n"/>
      <x:c r="Q271" s="25" t="n"/>
      <x:c r="R271" s="25" t="n"/>
      <x:c r="S271" s="22" t="n"/>
      <x:c r="T271" s="23" t="n"/>
      <x:c r="U271" s="25" t="n"/>
      <x:c r="V271" s="25" t="n"/>
      <x:c r="W271" s="25">
        <x:f>IF(OR(AND(OR(O271="DELIVERED",O271="PARTIAL"),J271&lt;&gt;TRUE),AND(OR(E271="CASH",E271="DAY CHEQUE",E271="POST DATED CHQ"),I271&lt;&gt;TRUE),AND(OR(E271="CASH",E271="DAY CHEQUE",E271="POST DATED CHQ"),K271&lt;&gt;TRUE),AND(E271="POST DATED CHQ",ISBLANK(M271)),P271=TRUE,Q271=TRUE,AND(R271=TRUE,OR(ISBLANK(S271),ISBLANK(T271))),AND(E271="ONLINE",V271&lt;&gt;TRUE),AND(I271=TRUE,U271&lt;&gt;TRUE)),TRUE,FALSE)</x:f>
      </x:c>
      <x:c r="X271" s="22" t="n"/>
    </x:row>
    <x:row r="272">
      <x:c r="A272" s="22" t="n"/>
      <x:c r="B272" s="22" t="n"/>
      <x:c r="C272" s="22" t="n"/>
      <x:c r="D272" s="22" t="n"/>
      <x:c r="E272" s="22" t="n"/>
      <x:c r="F272" s="23" t="n"/>
      <x:c r="G272" s="23" t="n"/>
      <x:c r="H272" s="24">
        <x:f>IF(OR(ISBLANK(F272),ISBLANK(G272)),"",G272-F272)</x:f>
      </x:c>
      <x:c r="I272" s="25" t="n"/>
      <x:c r="J272" s="25" t="n"/>
      <x:c r="K272" s="25" t="n"/>
      <x:c r="L272" s="22" t="n"/>
      <x:c r="M272" s="22" t="n"/>
      <x:c r="N272" s="22" t="n"/>
      <x:c r="O272" s="22" t="n"/>
      <x:c r="P272" s="25" t="n"/>
      <x:c r="Q272" s="25" t="n"/>
      <x:c r="R272" s="25" t="n"/>
      <x:c r="S272" s="22" t="n"/>
      <x:c r="T272" s="23" t="n"/>
      <x:c r="U272" s="25" t="n"/>
      <x:c r="V272" s="25" t="n"/>
      <x:c r="W272" s="25">
        <x:f>IF(OR(AND(OR(O272="DELIVERED",O272="PARTIAL"),J272&lt;&gt;TRUE),AND(OR(E272="CASH",E272="DAY CHEQUE",E272="POST DATED CHQ"),I272&lt;&gt;TRUE),AND(OR(E272="CASH",E272="DAY CHEQUE",E272="POST DATED CHQ"),K272&lt;&gt;TRUE),AND(E272="POST DATED CHQ",ISBLANK(M272)),P272=TRUE,Q272=TRUE,AND(R272=TRUE,OR(ISBLANK(S272),ISBLANK(T272))),AND(E272="ONLINE",V272&lt;&gt;TRUE),AND(I272=TRUE,U272&lt;&gt;TRUE)),TRUE,FALSE)</x:f>
      </x:c>
      <x:c r="X272" s="22" t="n"/>
    </x:row>
    <x:row r="273">
      <x:c r="A273" s="22" t="n"/>
      <x:c r="B273" s="22" t="n"/>
      <x:c r="C273" s="22" t="n"/>
      <x:c r="D273" s="22" t="n"/>
      <x:c r="E273" s="22" t="n"/>
      <x:c r="F273" s="23" t="n"/>
      <x:c r="G273" s="23" t="n"/>
      <x:c r="H273" s="24">
        <x:f>IF(OR(ISBLANK(F273),ISBLANK(G273)),"",G273-F273)</x:f>
      </x:c>
      <x:c r="I273" s="25" t="n"/>
      <x:c r="J273" s="25" t="n"/>
      <x:c r="K273" s="25" t="n"/>
      <x:c r="L273" s="22" t="n"/>
      <x:c r="M273" s="22" t="n"/>
      <x:c r="N273" s="22" t="n"/>
      <x:c r="O273" s="22" t="n"/>
      <x:c r="P273" s="25" t="n"/>
      <x:c r="Q273" s="25" t="n"/>
      <x:c r="R273" s="25" t="n"/>
      <x:c r="S273" s="22" t="n"/>
      <x:c r="T273" s="23" t="n"/>
      <x:c r="U273" s="25" t="n"/>
      <x:c r="V273" s="25" t="n"/>
      <x:c r="W273" s="25">
        <x:f>IF(OR(AND(OR(O273="DELIVERED",O273="PARTIAL"),J273&lt;&gt;TRUE),AND(OR(E273="CASH",E273="DAY CHEQUE",E273="POST DATED CHQ"),I273&lt;&gt;TRUE),AND(OR(E273="CASH",E273="DAY CHEQUE",E273="POST DATED CHQ"),K273&lt;&gt;TRUE),AND(E273="POST DATED CHQ",ISBLANK(M273)),P273=TRUE,Q273=TRUE,AND(R273=TRUE,OR(ISBLANK(S273),ISBLANK(T273))),AND(E273="ONLINE",V273&lt;&gt;TRUE),AND(I273=TRUE,U273&lt;&gt;TRUE)),TRUE,FALSE)</x:f>
      </x:c>
      <x:c r="X273" s="22" t="n"/>
    </x:row>
    <x:row r="274">
      <x:c r="A274" s="22" t="n"/>
      <x:c r="B274" s="22" t="n"/>
      <x:c r="C274" s="22" t="n"/>
      <x:c r="D274" s="22" t="n"/>
      <x:c r="E274" s="22" t="n"/>
      <x:c r="F274" s="23" t="n"/>
      <x:c r="G274" s="23" t="n"/>
      <x:c r="H274" s="24">
        <x:f>IF(OR(ISBLANK(F274),ISBLANK(G274)),"",G274-F274)</x:f>
      </x:c>
      <x:c r="I274" s="25" t="n"/>
      <x:c r="J274" s="25" t="n"/>
      <x:c r="K274" s="25" t="n"/>
      <x:c r="L274" s="22" t="n"/>
      <x:c r="M274" s="22" t="n"/>
      <x:c r="N274" s="22" t="n"/>
      <x:c r="O274" s="22" t="n"/>
      <x:c r="P274" s="25" t="n"/>
      <x:c r="Q274" s="25" t="n"/>
      <x:c r="R274" s="25" t="n"/>
      <x:c r="S274" s="22" t="n"/>
      <x:c r="T274" s="23" t="n"/>
      <x:c r="U274" s="25" t="n"/>
      <x:c r="V274" s="25" t="n"/>
      <x:c r="W274" s="25">
        <x:f>IF(OR(AND(OR(O274="DELIVERED",O274="PARTIAL"),J274&lt;&gt;TRUE),AND(OR(E274="CASH",E274="DAY CHEQUE",E274="POST DATED CHQ"),I274&lt;&gt;TRUE),AND(OR(E274="CASH",E274="DAY CHEQUE",E274="POST DATED CHQ"),K274&lt;&gt;TRUE),AND(E274="POST DATED CHQ",ISBLANK(M274)),P274=TRUE,Q274=TRUE,AND(R274=TRUE,OR(ISBLANK(S274),ISBLANK(T274))),AND(E274="ONLINE",V274&lt;&gt;TRUE),AND(I274=TRUE,U274&lt;&gt;TRUE)),TRUE,FALSE)</x:f>
      </x:c>
      <x:c r="X274" s="22" t="n"/>
    </x:row>
    <x:row r="275">
      <x:c r="A275" s="22" t="n"/>
      <x:c r="B275" s="22" t="n"/>
      <x:c r="C275" s="22" t="n"/>
      <x:c r="D275" s="22" t="n"/>
      <x:c r="E275" s="22" t="n"/>
      <x:c r="F275" s="23" t="n"/>
      <x:c r="G275" s="23" t="n"/>
      <x:c r="H275" s="24">
        <x:f>IF(OR(ISBLANK(F275),ISBLANK(G275)),"",G275-F275)</x:f>
      </x:c>
      <x:c r="I275" s="25" t="n"/>
      <x:c r="J275" s="25" t="n"/>
      <x:c r="K275" s="25" t="n"/>
      <x:c r="L275" s="22" t="n"/>
      <x:c r="M275" s="22" t="n"/>
      <x:c r="N275" s="22" t="n"/>
      <x:c r="O275" s="22" t="n"/>
      <x:c r="P275" s="25" t="n"/>
      <x:c r="Q275" s="25" t="n"/>
      <x:c r="R275" s="25" t="n"/>
      <x:c r="S275" s="22" t="n"/>
      <x:c r="T275" s="23" t="n"/>
      <x:c r="U275" s="25" t="n"/>
      <x:c r="V275" s="25" t="n"/>
      <x:c r="W275" s="25">
        <x:f>IF(OR(AND(OR(O275="DELIVERED",O275="PARTIAL"),J275&lt;&gt;TRUE),AND(OR(E275="CASH",E275="DAY CHEQUE",E275="POST DATED CHQ"),I275&lt;&gt;TRUE),AND(OR(E275="CASH",E275="DAY CHEQUE",E275="POST DATED CHQ"),K275&lt;&gt;TRUE),AND(E275="POST DATED CHQ",ISBLANK(M275)),P275=TRUE,Q275=TRUE,AND(R275=TRUE,OR(ISBLANK(S275),ISBLANK(T275))),AND(E275="ONLINE",V275&lt;&gt;TRUE),AND(I275=TRUE,U275&lt;&gt;TRUE)),TRUE,FALSE)</x:f>
      </x:c>
      <x:c r="X275" s="22" t="n"/>
    </x:row>
    <x:row r="276">
      <x:c r="A276" s="22" t="n"/>
      <x:c r="B276" s="22" t="n"/>
      <x:c r="C276" s="22" t="n"/>
      <x:c r="D276" s="22" t="n"/>
      <x:c r="E276" s="22" t="n"/>
      <x:c r="F276" s="23" t="n"/>
      <x:c r="G276" s="23" t="n"/>
      <x:c r="H276" s="24">
        <x:f>IF(OR(ISBLANK(F276),ISBLANK(G276)),"",G276-F276)</x:f>
      </x:c>
      <x:c r="I276" s="25" t="n"/>
      <x:c r="J276" s="25" t="n"/>
      <x:c r="K276" s="25" t="n"/>
      <x:c r="L276" s="22" t="n"/>
      <x:c r="M276" s="22" t="n"/>
      <x:c r="N276" s="22" t="n"/>
      <x:c r="O276" s="22" t="n"/>
      <x:c r="P276" s="25" t="n"/>
      <x:c r="Q276" s="25" t="n"/>
      <x:c r="R276" s="25" t="n"/>
      <x:c r="S276" s="22" t="n"/>
      <x:c r="T276" s="23" t="n"/>
      <x:c r="U276" s="25" t="n"/>
      <x:c r="V276" s="25" t="n"/>
      <x:c r="W276" s="25">
        <x:f>IF(OR(AND(OR(O276="DELIVERED",O276="PARTIAL"),J276&lt;&gt;TRUE),AND(OR(E276="CASH",E276="DAY CHEQUE",E276="POST DATED CHQ"),I276&lt;&gt;TRUE),AND(OR(E276="CASH",E276="DAY CHEQUE",E276="POST DATED CHQ"),K276&lt;&gt;TRUE),AND(E276="POST DATED CHQ",ISBLANK(M276)),P276=TRUE,Q276=TRUE,AND(R276=TRUE,OR(ISBLANK(S276),ISBLANK(T276))),AND(E276="ONLINE",V276&lt;&gt;TRUE),AND(I276=TRUE,U276&lt;&gt;TRUE)),TRUE,FALSE)</x:f>
      </x:c>
      <x:c r="X276" s="22" t="n"/>
    </x:row>
    <x:row r="277">
      <x:c r="A277" s="22" t="n"/>
      <x:c r="B277" s="22" t="n"/>
      <x:c r="C277" s="22" t="n"/>
      <x:c r="D277" s="22" t="n"/>
      <x:c r="E277" s="22" t="n"/>
      <x:c r="F277" s="23" t="n"/>
      <x:c r="G277" s="23" t="n"/>
      <x:c r="H277" s="24">
        <x:f>IF(OR(ISBLANK(F277),ISBLANK(G277)),"",G277-F277)</x:f>
      </x:c>
      <x:c r="I277" s="25" t="n"/>
      <x:c r="J277" s="25" t="n"/>
      <x:c r="K277" s="25" t="n"/>
      <x:c r="L277" s="22" t="n"/>
      <x:c r="M277" s="22" t="n"/>
      <x:c r="N277" s="22" t="n"/>
      <x:c r="O277" s="22" t="n"/>
      <x:c r="P277" s="25" t="n"/>
      <x:c r="Q277" s="25" t="n"/>
      <x:c r="R277" s="25" t="n"/>
      <x:c r="S277" s="22" t="n"/>
      <x:c r="T277" s="23" t="n"/>
      <x:c r="U277" s="25" t="n"/>
      <x:c r="V277" s="25" t="n"/>
      <x:c r="W277" s="25">
        <x:f>IF(OR(AND(OR(O277="DELIVERED",O277="PARTIAL"),J277&lt;&gt;TRUE),AND(OR(E277="CASH",E277="DAY CHEQUE",E277="POST DATED CHQ"),I277&lt;&gt;TRUE),AND(OR(E277="CASH",E277="DAY CHEQUE",E277="POST DATED CHQ"),K277&lt;&gt;TRUE),AND(E277="POST DATED CHQ",ISBLANK(M277)),P277=TRUE,Q277=TRUE,AND(R277=TRUE,OR(ISBLANK(S277),ISBLANK(T277))),AND(E277="ONLINE",V277&lt;&gt;TRUE),AND(I277=TRUE,U277&lt;&gt;TRUE)),TRUE,FALSE)</x:f>
      </x:c>
      <x:c r="X277" s="22" t="n"/>
    </x:row>
    <x:row r="278">
      <x:c r="A278" s="22" t="n"/>
      <x:c r="B278" s="22" t="n"/>
      <x:c r="C278" s="22" t="n"/>
      <x:c r="D278" s="22" t="n"/>
      <x:c r="E278" s="22" t="n"/>
      <x:c r="F278" s="23" t="n"/>
      <x:c r="G278" s="23" t="n"/>
      <x:c r="H278" s="24">
        <x:f>IF(OR(ISBLANK(F278),ISBLANK(G278)),"",G278-F278)</x:f>
      </x:c>
      <x:c r="I278" s="25" t="n"/>
      <x:c r="J278" s="25" t="n"/>
      <x:c r="K278" s="25" t="n"/>
      <x:c r="L278" s="22" t="n"/>
      <x:c r="M278" s="22" t="n"/>
      <x:c r="N278" s="22" t="n"/>
      <x:c r="O278" s="22" t="n"/>
      <x:c r="P278" s="25" t="n"/>
      <x:c r="Q278" s="25" t="n"/>
      <x:c r="R278" s="25" t="n"/>
      <x:c r="S278" s="22" t="n"/>
      <x:c r="T278" s="23" t="n"/>
      <x:c r="U278" s="25" t="n"/>
      <x:c r="V278" s="25" t="n"/>
      <x:c r="W278" s="25">
        <x:f>IF(OR(AND(OR(O278="DELIVERED",O278="PARTIAL"),J278&lt;&gt;TRUE),AND(OR(E278="CASH",E278="DAY CHEQUE",E278="POST DATED CHQ"),I278&lt;&gt;TRUE),AND(OR(E278="CASH",E278="DAY CHEQUE",E278="POST DATED CHQ"),K278&lt;&gt;TRUE),AND(E278="POST DATED CHQ",ISBLANK(M278)),P278=TRUE,Q278=TRUE,AND(R278=TRUE,OR(ISBLANK(S278),ISBLANK(T278))),AND(E278="ONLINE",V278&lt;&gt;TRUE),AND(I278=TRUE,U278&lt;&gt;TRUE)),TRUE,FALSE)</x:f>
      </x:c>
      <x:c r="X278" s="22" t="n"/>
    </x:row>
    <x:row r="279">
      <x:c r="A279" s="22" t="n"/>
      <x:c r="B279" s="22" t="n"/>
      <x:c r="C279" s="22" t="n"/>
      <x:c r="D279" s="22" t="n"/>
      <x:c r="E279" s="22" t="n"/>
      <x:c r="F279" s="23" t="n"/>
      <x:c r="G279" s="23" t="n"/>
      <x:c r="H279" s="24">
        <x:f>IF(OR(ISBLANK(F279),ISBLANK(G279)),"",G279-F279)</x:f>
      </x:c>
      <x:c r="I279" s="25" t="n"/>
      <x:c r="J279" s="25" t="n"/>
      <x:c r="K279" s="25" t="n"/>
      <x:c r="L279" s="22" t="n"/>
      <x:c r="M279" s="22" t="n"/>
      <x:c r="N279" s="22" t="n"/>
      <x:c r="O279" s="22" t="n"/>
      <x:c r="P279" s="25" t="n"/>
      <x:c r="Q279" s="25" t="n"/>
      <x:c r="R279" s="25" t="n"/>
      <x:c r="S279" s="22" t="n"/>
      <x:c r="T279" s="23" t="n"/>
      <x:c r="U279" s="25" t="n"/>
      <x:c r="V279" s="25" t="n"/>
      <x:c r="W279" s="25">
        <x:f>IF(OR(AND(OR(O279="DELIVERED",O279="PARTIAL"),J279&lt;&gt;TRUE),AND(OR(E279="CASH",E279="DAY CHEQUE",E279="POST DATED CHQ"),I279&lt;&gt;TRUE),AND(OR(E279="CASH",E279="DAY CHEQUE",E279="POST DATED CHQ"),K279&lt;&gt;TRUE),AND(E279="POST DATED CHQ",ISBLANK(M279)),P279=TRUE,Q279=TRUE,AND(R279=TRUE,OR(ISBLANK(S279),ISBLANK(T279))),AND(E279="ONLINE",V279&lt;&gt;TRUE),AND(I279=TRUE,U279&lt;&gt;TRUE)),TRUE,FALSE)</x:f>
      </x:c>
      <x:c r="X279" s="22" t="n"/>
    </x:row>
    <x:row r="280">
      <x:c r="A280" s="22" t="n"/>
      <x:c r="B280" s="22" t="n"/>
      <x:c r="C280" s="22" t="n"/>
      <x:c r="D280" s="22" t="n"/>
      <x:c r="E280" s="22" t="n"/>
      <x:c r="F280" s="23" t="n"/>
      <x:c r="G280" s="23" t="n"/>
      <x:c r="H280" s="24">
        <x:f>IF(OR(ISBLANK(F280),ISBLANK(G280)),"",G280-F280)</x:f>
      </x:c>
      <x:c r="I280" s="25" t="n"/>
      <x:c r="J280" s="25" t="n"/>
      <x:c r="K280" s="25" t="n"/>
      <x:c r="L280" s="22" t="n"/>
      <x:c r="M280" s="22" t="n"/>
      <x:c r="N280" s="22" t="n"/>
      <x:c r="O280" s="22" t="n"/>
      <x:c r="P280" s="25" t="n"/>
      <x:c r="Q280" s="25" t="n"/>
      <x:c r="R280" s="25" t="n"/>
      <x:c r="S280" s="22" t="n"/>
      <x:c r="T280" s="23" t="n"/>
      <x:c r="U280" s="25" t="n"/>
      <x:c r="V280" s="25" t="n"/>
      <x:c r="W280" s="25">
        <x:f>IF(OR(AND(OR(O280="DELIVERED",O280="PARTIAL"),J280&lt;&gt;TRUE),AND(OR(E280="CASH",E280="DAY CHEQUE",E280="POST DATED CHQ"),I280&lt;&gt;TRUE),AND(OR(E280="CASH",E280="DAY CHEQUE",E280="POST DATED CHQ"),K280&lt;&gt;TRUE),AND(E280="POST DATED CHQ",ISBLANK(M280)),P280=TRUE,Q280=TRUE,AND(R280=TRUE,OR(ISBLANK(S280),ISBLANK(T280))),AND(E280="ONLINE",V280&lt;&gt;TRUE),AND(I280=TRUE,U280&lt;&gt;TRUE)),TRUE,FALSE)</x:f>
      </x:c>
      <x:c r="X280" s="22" t="n"/>
    </x:row>
    <x:row r="281">
      <x:c r="A281" s="22" t="n"/>
      <x:c r="B281" s="22" t="n"/>
      <x:c r="C281" s="22" t="n"/>
      <x:c r="D281" s="22" t="n"/>
      <x:c r="E281" s="22" t="n"/>
      <x:c r="F281" s="23" t="n"/>
      <x:c r="G281" s="23" t="n"/>
      <x:c r="H281" s="24">
        <x:f>IF(OR(ISBLANK(F281),ISBLANK(G281)),"",G281-F281)</x:f>
      </x:c>
      <x:c r="I281" s="25" t="n"/>
      <x:c r="J281" s="25" t="n"/>
      <x:c r="K281" s="25" t="n"/>
      <x:c r="L281" s="22" t="n"/>
      <x:c r="M281" s="22" t="n"/>
      <x:c r="N281" s="22" t="n"/>
      <x:c r="O281" s="22" t="n"/>
      <x:c r="P281" s="25" t="n"/>
      <x:c r="Q281" s="25" t="n"/>
      <x:c r="R281" s="25" t="n"/>
      <x:c r="S281" s="22" t="n"/>
      <x:c r="T281" s="23" t="n"/>
      <x:c r="U281" s="25" t="n"/>
      <x:c r="V281" s="25" t="n"/>
      <x:c r="W281" s="25">
        <x:f>IF(OR(AND(OR(O281="DELIVERED",O281="PARTIAL"),J281&lt;&gt;TRUE),AND(OR(E281="CASH",E281="DAY CHEQUE",E281="POST DATED CHQ"),I281&lt;&gt;TRUE),AND(OR(E281="CASH",E281="DAY CHEQUE",E281="POST DATED CHQ"),K281&lt;&gt;TRUE),AND(E281="POST DATED CHQ",ISBLANK(M281)),P281=TRUE,Q281=TRUE,AND(R281=TRUE,OR(ISBLANK(S281),ISBLANK(T281))),AND(E281="ONLINE",V281&lt;&gt;TRUE),AND(I281=TRUE,U281&lt;&gt;TRUE)),TRUE,FALSE)</x:f>
      </x:c>
      <x:c r="X281" s="22" t="n"/>
    </x:row>
    <x:row r="282">
      <x:c r="A282" s="22" t="n"/>
      <x:c r="B282" s="22" t="n"/>
      <x:c r="C282" s="22" t="n"/>
      <x:c r="D282" s="22" t="n"/>
      <x:c r="E282" s="22" t="n"/>
      <x:c r="F282" s="23" t="n"/>
      <x:c r="G282" s="23" t="n"/>
      <x:c r="H282" s="24">
        <x:f>IF(OR(ISBLANK(F282),ISBLANK(G282)),"",G282-F282)</x:f>
      </x:c>
      <x:c r="I282" s="25" t="n"/>
      <x:c r="J282" s="25" t="n"/>
      <x:c r="K282" s="25" t="n"/>
      <x:c r="L282" s="22" t="n"/>
      <x:c r="M282" s="22" t="n"/>
      <x:c r="N282" s="22" t="n"/>
      <x:c r="O282" s="22" t="n"/>
      <x:c r="P282" s="25" t="n"/>
      <x:c r="Q282" s="25" t="n"/>
      <x:c r="R282" s="25" t="n"/>
      <x:c r="S282" s="22" t="n"/>
      <x:c r="T282" s="23" t="n"/>
      <x:c r="U282" s="25" t="n"/>
      <x:c r="V282" s="25" t="n"/>
      <x:c r="W282" s="25">
        <x:f>IF(OR(AND(OR(O282="DELIVERED",O282="PARTIAL"),J282&lt;&gt;TRUE),AND(OR(E282="CASH",E282="DAY CHEQUE",E282="POST DATED CHQ"),I282&lt;&gt;TRUE),AND(OR(E282="CASH",E282="DAY CHEQUE",E282="POST DATED CHQ"),K282&lt;&gt;TRUE),AND(E282="POST DATED CHQ",ISBLANK(M282)),P282=TRUE,Q282=TRUE,AND(R282=TRUE,OR(ISBLANK(S282),ISBLANK(T282))),AND(E282="ONLINE",V282&lt;&gt;TRUE),AND(I282=TRUE,U282&lt;&gt;TRUE)),TRUE,FALSE)</x:f>
      </x:c>
      <x:c r="X282" s="22" t="n"/>
    </x:row>
    <x:row r="283">
      <x:c r="A283" s="22" t="n"/>
      <x:c r="B283" s="22" t="n"/>
      <x:c r="C283" s="22" t="n"/>
      <x:c r="D283" s="22" t="n"/>
      <x:c r="E283" s="22" t="n"/>
      <x:c r="F283" s="23" t="n"/>
      <x:c r="G283" s="23" t="n"/>
      <x:c r="H283" s="24">
        <x:f>IF(OR(ISBLANK(F283),ISBLANK(G283)),"",G283-F283)</x:f>
      </x:c>
      <x:c r="I283" s="25" t="n"/>
      <x:c r="J283" s="25" t="n"/>
      <x:c r="K283" s="25" t="n"/>
      <x:c r="L283" s="22" t="n"/>
      <x:c r="M283" s="22" t="n"/>
      <x:c r="N283" s="22" t="n"/>
      <x:c r="O283" s="22" t="n"/>
      <x:c r="P283" s="25" t="n"/>
      <x:c r="Q283" s="25" t="n"/>
      <x:c r="R283" s="25" t="n"/>
      <x:c r="S283" s="22" t="n"/>
      <x:c r="T283" s="23" t="n"/>
      <x:c r="U283" s="25" t="n"/>
      <x:c r="V283" s="25" t="n"/>
      <x:c r="W283" s="25">
        <x:f>IF(OR(AND(OR(O283="DELIVERED",O283="PARTIAL"),J283&lt;&gt;TRUE),AND(OR(E283="CASH",E283="DAY CHEQUE",E283="POST DATED CHQ"),I283&lt;&gt;TRUE),AND(OR(E283="CASH",E283="DAY CHEQUE",E283="POST DATED CHQ"),K283&lt;&gt;TRUE),AND(E283="POST DATED CHQ",ISBLANK(M283)),P283=TRUE,Q283=TRUE,AND(R283=TRUE,OR(ISBLANK(S283),ISBLANK(T283))),AND(E283="ONLINE",V283&lt;&gt;TRUE),AND(I283=TRUE,U283&lt;&gt;TRUE)),TRUE,FALSE)</x:f>
      </x:c>
      <x:c r="X283" s="22" t="n"/>
    </x:row>
    <x:row r="284">
      <x:c r="A284" s="22" t="n"/>
      <x:c r="B284" s="22" t="n"/>
      <x:c r="C284" s="22" t="n"/>
      <x:c r="D284" s="22" t="n"/>
      <x:c r="E284" s="22" t="n"/>
      <x:c r="F284" s="23" t="n"/>
      <x:c r="G284" s="23" t="n"/>
      <x:c r="H284" s="24">
        <x:f>IF(OR(ISBLANK(F284),ISBLANK(G284)),"",G284-F284)</x:f>
      </x:c>
      <x:c r="I284" s="25" t="n"/>
      <x:c r="J284" s="25" t="n"/>
      <x:c r="K284" s="25" t="n"/>
      <x:c r="L284" s="22" t="n"/>
      <x:c r="M284" s="22" t="n"/>
      <x:c r="N284" s="22" t="n"/>
      <x:c r="O284" s="22" t="n"/>
      <x:c r="P284" s="25" t="n"/>
      <x:c r="Q284" s="25" t="n"/>
      <x:c r="R284" s="25" t="n"/>
      <x:c r="S284" s="22" t="n"/>
      <x:c r="T284" s="23" t="n"/>
      <x:c r="U284" s="25" t="n"/>
      <x:c r="V284" s="25" t="n"/>
      <x:c r="W284" s="25">
        <x:f>IF(OR(AND(OR(O284="DELIVERED",O284="PARTIAL"),J284&lt;&gt;TRUE),AND(OR(E284="CASH",E284="DAY CHEQUE",E284="POST DATED CHQ"),I284&lt;&gt;TRUE),AND(OR(E284="CASH",E284="DAY CHEQUE",E284="POST DATED CHQ"),K284&lt;&gt;TRUE),AND(E284="POST DATED CHQ",ISBLANK(M284)),P284=TRUE,Q284=TRUE,AND(R284=TRUE,OR(ISBLANK(S284),ISBLANK(T284))),AND(E284="ONLINE",V284&lt;&gt;TRUE),AND(I284=TRUE,U284&lt;&gt;TRUE)),TRUE,FALSE)</x:f>
      </x:c>
      <x:c r="X284" s="22" t="n"/>
    </x:row>
    <x:row r="285">
      <x:c r="A285" s="22" t="n"/>
      <x:c r="B285" s="22" t="n"/>
      <x:c r="C285" s="22" t="n"/>
      <x:c r="D285" s="22" t="n"/>
      <x:c r="E285" s="22" t="n"/>
      <x:c r="F285" s="23" t="n"/>
      <x:c r="G285" s="23" t="n"/>
      <x:c r="H285" s="24">
        <x:f>IF(OR(ISBLANK(F285),ISBLANK(G285)),"",G285-F285)</x:f>
      </x:c>
      <x:c r="I285" s="25" t="n"/>
      <x:c r="J285" s="25" t="n"/>
      <x:c r="K285" s="25" t="n"/>
      <x:c r="L285" s="22" t="n"/>
      <x:c r="M285" s="22" t="n"/>
      <x:c r="N285" s="22" t="n"/>
      <x:c r="O285" s="22" t="n"/>
      <x:c r="P285" s="25" t="n"/>
      <x:c r="Q285" s="25" t="n"/>
      <x:c r="R285" s="25" t="n"/>
      <x:c r="S285" s="22" t="n"/>
      <x:c r="T285" s="23" t="n"/>
      <x:c r="U285" s="25" t="n"/>
      <x:c r="V285" s="25" t="n"/>
      <x:c r="W285" s="25">
        <x:f>IF(OR(AND(OR(O285="DELIVERED",O285="PARTIAL"),J285&lt;&gt;TRUE),AND(OR(E285="CASH",E285="DAY CHEQUE",E285="POST DATED CHQ"),I285&lt;&gt;TRUE),AND(OR(E285="CASH",E285="DAY CHEQUE",E285="POST DATED CHQ"),K285&lt;&gt;TRUE),AND(E285="POST DATED CHQ",ISBLANK(M285)),P285=TRUE,Q285=TRUE,AND(R285=TRUE,OR(ISBLANK(S285),ISBLANK(T285))),AND(E285="ONLINE",V285&lt;&gt;TRUE),AND(I285=TRUE,U285&lt;&gt;TRUE)),TRUE,FALSE)</x:f>
      </x:c>
      <x:c r="X285" s="22" t="n"/>
    </x:row>
    <x:row r="286">
      <x:c r="A286" s="22" t="n"/>
      <x:c r="B286" s="22" t="n"/>
      <x:c r="C286" s="22" t="n"/>
      <x:c r="D286" s="22" t="n"/>
      <x:c r="E286" s="22" t="n"/>
      <x:c r="F286" s="23" t="n"/>
      <x:c r="G286" s="23" t="n"/>
      <x:c r="H286" s="24">
        <x:f>IF(OR(ISBLANK(F286),ISBLANK(G286)),"",G286-F286)</x:f>
      </x:c>
      <x:c r="I286" s="25" t="n"/>
      <x:c r="J286" s="25" t="n"/>
      <x:c r="K286" s="25" t="n"/>
      <x:c r="L286" s="22" t="n"/>
      <x:c r="M286" s="22" t="n"/>
      <x:c r="N286" s="22" t="n"/>
      <x:c r="O286" s="22" t="n"/>
      <x:c r="P286" s="25" t="n"/>
      <x:c r="Q286" s="25" t="n"/>
      <x:c r="R286" s="25" t="n"/>
      <x:c r="S286" s="22" t="n"/>
      <x:c r="T286" s="23" t="n"/>
      <x:c r="U286" s="25" t="n"/>
      <x:c r="V286" s="25" t="n"/>
      <x:c r="W286" s="25">
        <x:f>IF(OR(AND(OR(O286="DELIVERED",O286="PARTIAL"),J286&lt;&gt;TRUE),AND(OR(E286="CASH",E286="DAY CHEQUE",E286="POST DATED CHQ"),I286&lt;&gt;TRUE),AND(OR(E286="CASH",E286="DAY CHEQUE",E286="POST DATED CHQ"),K286&lt;&gt;TRUE),AND(E286="POST DATED CHQ",ISBLANK(M286)),P286=TRUE,Q286=TRUE,AND(R286=TRUE,OR(ISBLANK(S286),ISBLANK(T286))),AND(E286="ONLINE",V286&lt;&gt;TRUE),AND(I286=TRUE,U286&lt;&gt;TRUE)),TRUE,FALSE)</x:f>
      </x:c>
      <x:c r="X286" s="22" t="n"/>
    </x:row>
    <x:row r="287">
      <x:c r="A287" s="22" t="n"/>
      <x:c r="B287" s="22" t="n"/>
      <x:c r="C287" s="22" t="n"/>
      <x:c r="D287" s="22" t="n"/>
      <x:c r="E287" s="22" t="n"/>
      <x:c r="F287" s="23" t="n"/>
      <x:c r="G287" s="23" t="n"/>
      <x:c r="H287" s="24">
        <x:f>IF(OR(ISBLANK(F287),ISBLANK(G287)),"",G287-F287)</x:f>
      </x:c>
      <x:c r="I287" s="25" t="n"/>
      <x:c r="J287" s="25" t="n"/>
      <x:c r="K287" s="25" t="n"/>
      <x:c r="L287" s="22" t="n"/>
      <x:c r="M287" s="22" t="n"/>
      <x:c r="N287" s="22" t="n"/>
      <x:c r="O287" s="22" t="n"/>
      <x:c r="P287" s="25" t="n"/>
      <x:c r="Q287" s="25" t="n"/>
      <x:c r="R287" s="25" t="n"/>
      <x:c r="S287" s="22" t="n"/>
      <x:c r="T287" s="23" t="n"/>
      <x:c r="U287" s="25" t="n"/>
      <x:c r="V287" s="25" t="n"/>
      <x:c r="W287" s="25">
        <x:f>IF(OR(AND(OR(O287="DELIVERED",O287="PARTIAL"),J287&lt;&gt;TRUE),AND(OR(E287="CASH",E287="DAY CHEQUE",E287="POST DATED CHQ"),I287&lt;&gt;TRUE),AND(OR(E287="CASH",E287="DAY CHEQUE",E287="POST DATED CHQ"),K287&lt;&gt;TRUE),AND(E287="POST DATED CHQ",ISBLANK(M287)),P287=TRUE,Q287=TRUE,AND(R287=TRUE,OR(ISBLANK(S287),ISBLANK(T287))),AND(E287="ONLINE",V287&lt;&gt;TRUE),AND(I287=TRUE,U287&lt;&gt;TRUE)),TRUE,FALSE)</x:f>
      </x:c>
      <x:c r="X287" s="22" t="n"/>
    </x:row>
    <x:row r="288">
      <x:c r="A288" s="22" t="n"/>
      <x:c r="B288" s="22" t="n"/>
      <x:c r="C288" s="22" t="n"/>
      <x:c r="D288" s="22" t="n"/>
      <x:c r="E288" s="22" t="n"/>
      <x:c r="F288" s="23" t="n"/>
      <x:c r="G288" s="23" t="n"/>
      <x:c r="H288" s="24">
        <x:f>IF(OR(ISBLANK(F288),ISBLANK(G288)),"",G288-F288)</x:f>
      </x:c>
      <x:c r="I288" s="25" t="n"/>
      <x:c r="J288" s="25" t="n"/>
      <x:c r="K288" s="25" t="n"/>
      <x:c r="L288" s="22" t="n"/>
      <x:c r="M288" s="22" t="n"/>
      <x:c r="N288" s="22" t="n"/>
      <x:c r="O288" s="22" t="n"/>
      <x:c r="P288" s="25" t="n"/>
      <x:c r="Q288" s="25" t="n"/>
      <x:c r="R288" s="25" t="n"/>
      <x:c r="S288" s="22" t="n"/>
      <x:c r="T288" s="23" t="n"/>
      <x:c r="U288" s="25" t="n"/>
      <x:c r="V288" s="25" t="n"/>
      <x:c r="W288" s="25">
        <x:f>IF(OR(AND(OR(O288="DELIVERED",O288="PARTIAL"),J288&lt;&gt;TRUE),AND(OR(E288="CASH",E288="DAY CHEQUE",E288="POST DATED CHQ"),I288&lt;&gt;TRUE),AND(OR(E288="CASH",E288="DAY CHEQUE",E288="POST DATED CHQ"),K288&lt;&gt;TRUE),AND(E288="POST DATED CHQ",ISBLANK(M288)),P288=TRUE,Q288=TRUE,AND(R288=TRUE,OR(ISBLANK(S288),ISBLANK(T288))),AND(E288="ONLINE",V288&lt;&gt;TRUE),AND(I288=TRUE,U288&lt;&gt;TRUE)),TRUE,FALSE)</x:f>
      </x:c>
      <x:c r="X288" s="22" t="n"/>
    </x:row>
    <x:row r="289">
      <x:c r="A289" s="22" t="n"/>
      <x:c r="B289" s="22" t="n"/>
      <x:c r="C289" s="22" t="n"/>
      <x:c r="D289" s="22" t="n"/>
      <x:c r="E289" s="22" t="n"/>
      <x:c r="F289" s="23" t="n"/>
      <x:c r="G289" s="23" t="n"/>
      <x:c r="H289" s="24">
        <x:f>IF(OR(ISBLANK(F289),ISBLANK(G289)),"",G289-F289)</x:f>
      </x:c>
      <x:c r="I289" s="25" t="n"/>
      <x:c r="J289" s="25" t="n"/>
      <x:c r="K289" s="25" t="n"/>
      <x:c r="L289" s="22" t="n"/>
      <x:c r="M289" s="22" t="n"/>
      <x:c r="N289" s="22" t="n"/>
      <x:c r="O289" s="22" t="n"/>
      <x:c r="P289" s="25" t="n"/>
      <x:c r="Q289" s="25" t="n"/>
      <x:c r="R289" s="25" t="n"/>
      <x:c r="S289" s="22" t="n"/>
      <x:c r="T289" s="23" t="n"/>
      <x:c r="U289" s="25" t="n"/>
      <x:c r="V289" s="25" t="n"/>
      <x:c r="W289" s="25">
        <x:f>IF(OR(AND(OR(O289="DELIVERED",O289="PARTIAL"),J289&lt;&gt;TRUE),AND(OR(E289="CASH",E289="DAY CHEQUE",E289="POST DATED CHQ"),I289&lt;&gt;TRUE),AND(OR(E289="CASH",E289="DAY CHEQUE",E289="POST DATED CHQ"),K289&lt;&gt;TRUE),AND(E289="POST DATED CHQ",ISBLANK(M289)),P289=TRUE,Q289=TRUE,AND(R289=TRUE,OR(ISBLANK(S289),ISBLANK(T289))),AND(E289="ONLINE",V289&lt;&gt;TRUE),AND(I289=TRUE,U289&lt;&gt;TRUE)),TRUE,FALSE)</x:f>
      </x:c>
      <x:c r="X289" s="22" t="n"/>
    </x:row>
    <x:row r="290">
      <x:c r="A290" s="22" t="n"/>
      <x:c r="B290" s="22" t="n"/>
      <x:c r="C290" s="22" t="n"/>
      <x:c r="D290" s="22" t="n"/>
      <x:c r="E290" s="22" t="n"/>
      <x:c r="F290" s="23" t="n"/>
      <x:c r="G290" s="23" t="n"/>
      <x:c r="H290" s="24">
        <x:f>IF(OR(ISBLANK(F290),ISBLANK(G290)),"",G290-F290)</x:f>
      </x:c>
      <x:c r="I290" s="25" t="n"/>
      <x:c r="J290" s="25" t="n"/>
      <x:c r="K290" s="25" t="n"/>
      <x:c r="L290" s="22" t="n"/>
      <x:c r="M290" s="22" t="n"/>
      <x:c r="N290" s="22" t="n"/>
      <x:c r="O290" s="22" t="n"/>
      <x:c r="P290" s="25" t="n"/>
      <x:c r="Q290" s="25" t="n"/>
      <x:c r="R290" s="25" t="n"/>
      <x:c r="S290" s="22" t="n"/>
      <x:c r="T290" s="23" t="n"/>
      <x:c r="U290" s="25" t="n"/>
      <x:c r="V290" s="25" t="n"/>
      <x:c r="W290" s="25">
        <x:f>IF(OR(AND(OR(O290="DELIVERED",O290="PARTIAL"),J290&lt;&gt;TRUE),AND(OR(E290="CASH",E290="DAY CHEQUE",E290="POST DATED CHQ"),I290&lt;&gt;TRUE),AND(OR(E290="CASH",E290="DAY CHEQUE",E290="POST DATED CHQ"),K290&lt;&gt;TRUE),AND(E290="POST DATED CHQ",ISBLANK(M290)),P290=TRUE,Q290=TRUE,AND(R290=TRUE,OR(ISBLANK(S290),ISBLANK(T290))),AND(E290="ONLINE",V290&lt;&gt;TRUE),AND(I290=TRUE,U290&lt;&gt;TRUE)),TRUE,FALSE)</x:f>
      </x:c>
      <x:c r="X290" s="22" t="n"/>
    </x:row>
    <x:row r="291">
      <x:c r="A291" s="22" t="n"/>
      <x:c r="B291" s="22" t="n"/>
      <x:c r="C291" s="22" t="n"/>
      <x:c r="D291" s="22" t="n"/>
      <x:c r="E291" s="22" t="n"/>
      <x:c r="F291" s="23" t="n"/>
      <x:c r="G291" s="23" t="n"/>
      <x:c r="H291" s="24">
        <x:f>IF(OR(ISBLANK(F291),ISBLANK(G291)),"",G291-F291)</x:f>
      </x:c>
      <x:c r="I291" s="25" t="n"/>
      <x:c r="J291" s="25" t="n"/>
      <x:c r="K291" s="25" t="n"/>
      <x:c r="L291" s="22" t="n"/>
      <x:c r="M291" s="22" t="n"/>
      <x:c r="N291" s="22" t="n"/>
      <x:c r="O291" s="22" t="n"/>
      <x:c r="P291" s="25" t="n"/>
      <x:c r="Q291" s="25" t="n"/>
      <x:c r="R291" s="25" t="n"/>
      <x:c r="S291" s="22" t="n"/>
      <x:c r="T291" s="23" t="n"/>
      <x:c r="U291" s="25" t="n"/>
      <x:c r="V291" s="25" t="n"/>
      <x:c r="W291" s="25">
        <x:f>IF(OR(AND(OR(O291="DELIVERED",O291="PARTIAL"),J291&lt;&gt;TRUE),AND(OR(E291="CASH",E291="DAY CHEQUE",E291="POST DATED CHQ"),I291&lt;&gt;TRUE),AND(OR(E291="CASH",E291="DAY CHEQUE",E291="POST DATED CHQ"),K291&lt;&gt;TRUE),AND(E291="POST DATED CHQ",ISBLANK(M291)),P291=TRUE,Q291=TRUE,AND(R291=TRUE,OR(ISBLANK(S291),ISBLANK(T291))),AND(E291="ONLINE",V291&lt;&gt;TRUE),AND(I291=TRUE,U291&lt;&gt;TRUE)),TRUE,FALSE)</x:f>
      </x:c>
      <x:c r="X291" s="22" t="n"/>
    </x:row>
    <x:row r="292">
      <x:c r="A292" s="22" t="n"/>
      <x:c r="B292" s="22" t="n"/>
      <x:c r="C292" s="22" t="n"/>
      <x:c r="D292" s="22" t="n"/>
      <x:c r="E292" s="22" t="n"/>
      <x:c r="F292" s="23" t="n"/>
      <x:c r="G292" s="23" t="n"/>
      <x:c r="H292" s="24">
        <x:f>IF(OR(ISBLANK(F292),ISBLANK(G292)),"",G292-F292)</x:f>
      </x:c>
      <x:c r="I292" s="25" t="n"/>
      <x:c r="J292" s="25" t="n"/>
      <x:c r="K292" s="25" t="n"/>
      <x:c r="L292" s="22" t="n"/>
      <x:c r="M292" s="22" t="n"/>
      <x:c r="N292" s="22" t="n"/>
      <x:c r="O292" s="22" t="n"/>
      <x:c r="P292" s="25" t="n"/>
      <x:c r="Q292" s="25" t="n"/>
      <x:c r="R292" s="25" t="n"/>
      <x:c r="S292" s="22" t="n"/>
      <x:c r="T292" s="23" t="n"/>
      <x:c r="U292" s="25" t="n"/>
      <x:c r="V292" s="25" t="n"/>
      <x:c r="W292" s="25">
        <x:f>IF(OR(AND(OR(O292="DELIVERED",O292="PARTIAL"),J292&lt;&gt;TRUE),AND(OR(E292="CASH",E292="DAY CHEQUE",E292="POST DATED CHQ"),I292&lt;&gt;TRUE),AND(OR(E292="CASH",E292="DAY CHEQUE",E292="POST DATED CHQ"),K292&lt;&gt;TRUE),AND(E292="POST DATED CHQ",ISBLANK(M292)),P292=TRUE,Q292=TRUE,AND(R292=TRUE,OR(ISBLANK(S292),ISBLANK(T292))),AND(E292="ONLINE",V292&lt;&gt;TRUE),AND(I292=TRUE,U292&lt;&gt;TRUE)),TRUE,FALSE)</x:f>
      </x:c>
      <x:c r="X292" s="22" t="n"/>
    </x:row>
    <x:row r="293">
      <x:c r="A293" s="22" t="n"/>
      <x:c r="B293" s="22" t="n"/>
      <x:c r="C293" s="22" t="n"/>
      <x:c r="D293" s="22" t="n"/>
      <x:c r="E293" s="22" t="n"/>
      <x:c r="F293" s="23" t="n"/>
      <x:c r="G293" s="23" t="n"/>
      <x:c r="H293" s="24">
        <x:f>IF(OR(ISBLANK(F293),ISBLANK(G293)),"",G293-F293)</x:f>
      </x:c>
      <x:c r="I293" s="25" t="n"/>
      <x:c r="J293" s="25" t="n"/>
      <x:c r="K293" s="25" t="n"/>
      <x:c r="L293" s="22" t="n"/>
      <x:c r="M293" s="22" t="n"/>
      <x:c r="N293" s="22" t="n"/>
      <x:c r="O293" s="22" t="n"/>
      <x:c r="P293" s="25" t="n"/>
      <x:c r="Q293" s="25" t="n"/>
      <x:c r="R293" s="25" t="n"/>
      <x:c r="S293" s="22" t="n"/>
      <x:c r="T293" s="23" t="n"/>
      <x:c r="U293" s="25" t="n"/>
      <x:c r="V293" s="25" t="n"/>
      <x:c r="W293" s="25">
        <x:f>IF(OR(AND(OR(O293="DELIVERED",O293="PARTIAL"),J293&lt;&gt;TRUE),AND(OR(E293="CASH",E293="DAY CHEQUE",E293="POST DATED CHQ"),I293&lt;&gt;TRUE),AND(OR(E293="CASH",E293="DAY CHEQUE",E293="POST DATED CHQ"),K293&lt;&gt;TRUE),AND(E293="POST DATED CHQ",ISBLANK(M293)),P293=TRUE,Q293=TRUE,AND(R293=TRUE,OR(ISBLANK(S293),ISBLANK(T293))),AND(E293="ONLINE",V293&lt;&gt;TRUE),AND(I293=TRUE,U293&lt;&gt;TRUE)),TRUE,FALSE)</x:f>
      </x:c>
      <x:c r="X293" s="22" t="n"/>
    </x:row>
    <x:row r="294">
      <x:c r="A294" s="22" t="n"/>
      <x:c r="B294" s="22" t="n"/>
      <x:c r="C294" s="22" t="n"/>
      <x:c r="D294" s="22" t="n"/>
      <x:c r="E294" s="22" t="n"/>
      <x:c r="F294" s="23" t="n"/>
      <x:c r="G294" s="23" t="n"/>
      <x:c r="H294" s="24">
        <x:f>IF(OR(ISBLANK(F294),ISBLANK(G294)),"",G294-F294)</x:f>
      </x:c>
      <x:c r="I294" s="25" t="n"/>
      <x:c r="J294" s="25" t="n"/>
      <x:c r="K294" s="25" t="n"/>
      <x:c r="L294" s="22" t="n"/>
      <x:c r="M294" s="22" t="n"/>
      <x:c r="N294" s="22" t="n"/>
      <x:c r="O294" s="22" t="n"/>
      <x:c r="P294" s="25" t="n"/>
      <x:c r="Q294" s="25" t="n"/>
      <x:c r="R294" s="25" t="n"/>
      <x:c r="S294" s="22" t="n"/>
      <x:c r="T294" s="23" t="n"/>
      <x:c r="U294" s="25" t="n"/>
      <x:c r="V294" s="25" t="n"/>
      <x:c r="W294" s="25">
        <x:f>IF(OR(AND(OR(O294="DELIVERED",O294="PARTIAL"),J294&lt;&gt;TRUE),AND(OR(E294="CASH",E294="DAY CHEQUE",E294="POST DATED CHQ"),I294&lt;&gt;TRUE),AND(OR(E294="CASH",E294="DAY CHEQUE",E294="POST DATED CHQ"),K294&lt;&gt;TRUE),AND(E294="POST DATED CHQ",ISBLANK(M294)),P294=TRUE,Q294=TRUE,AND(R294=TRUE,OR(ISBLANK(S294),ISBLANK(T294))),AND(E294="ONLINE",V294&lt;&gt;TRUE),AND(I294=TRUE,U294&lt;&gt;TRUE)),TRUE,FALSE)</x:f>
      </x:c>
      <x:c r="X294" s="22" t="n"/>
    </x:row>
    <x:row r="295">
      <x:c r="A295" s="22" t="n"/>
      <x:c r="B295" s="22" t="n"/>
      <x:c r="C295" s="22" t="n"/>
      <x:c r="D295" s="22" t="n"/>
      <x:c r="E295" s="22" t="n"/>
      <x:c r="F295" s="23" t="n"/>
      <x:c r="G295" s="23" t="n"/>
      <x:c r="H295" s="24">
        <x:f>IF(OR(ISBLANK(F295),ISBLANK(G295)),"",G295-F295)</x:f>
      </x:c>
      <x:c r="I295" s="25" t="n"/>
      <x:c r="J295" s="25" t="n"/>
      <x:c r="K295" s="25" t="n"/>
      <x:c r="L295" s="22" t="n"/>
      <x:c r="M295" s="22" t="n"/>
      <x:c r="N295" s="22" t="n"/>
      <x:c r="O295" s="22" t="n"/>
      <x:c r="P295" s="25" t="n"/>
      <x:c r="Q295" s="25" t="n"/>
      <x:c r="R295" s="25" t="n"/>
      <x:c r="S295" s="22" t="n"/>
      <x:c r="T295" s="23" t="n"/>
      <x:c r="U295" s="25" t="n"/>
      <x:c r="V295" s="25" t="n"/>
      <x:c r="W295" s="25">
        <x:f>IF(OR(AND(OR(O295="DELIVERED",O295="PARTIAL"),J295&lt;&gt;TRUE),AND(OR(E295="CASH",E295="DAY CHEQUE",E295="POST DATED CHQ"),I295&lt;&gt;TRUE),AND(OR(E295="CASH",E295="DAY CHEQUE",E295="POST DATED CHQ"),K295&lt;&gt;TRUE),AND(E295="POST DATED CHQ",ISBLANK(M295)),P295=TRUE,Q295=TRUE,AND(R295=TRUE,OR(ISBLANK(S295),ISBLANK(T295))),AND(E295="ONLINE",V295&lt;&gt;TRUE),AND(I295=TRUE,U295&lt;&gt;TRUE)),TRUE,FALSE)</x:f>
      </x:c>
      <x:c r="X295" s="22" t="n"/>
    </x:row>
    <x:row r="296">
      <x:c r="A296" s="22" t="n"/>
      <x:c r="B296" s="22" t="n"/>
      <x:c r="C296" s="22" t="n"/>
      <x:c r="D296" s="22" t="n"/>
      <x:c r="E296" s="22" t="n"/>
      <x:c r="F296" s="23" t="n"/>
      <x:c r="G296" s="23" t="n"/>
      <x:c r="H296" s="24">
        <x:f>IF(OR(ISBLANK(F296),ISBLANK(G296)),"",G296-F296)</x:f>
      </x:c>
      <x:c r="I296" s="25" t="n"/>
      <x:c r="J296" s="25" t="n"/>
      <x:c r="K296" s="25" t="n"/>
      <x:c r="L296" s="22" t="n"/>
      <x:c r="M296" s="22" t="n"/>
      <x:c r="N296" s="22" t="n"/>
      <x:c r="O296" s="22" t="n"/>
      <x:c r="P296" s="25" t="n"/>
      <x:c r="Q296" s="25" t="n"/>
      <x:c r="R296" s="25" t="n"/>
      <x:c r="S296" s="22" t="n"/>
      <x:c r="T296" s="23" t="n"/>
      <x:c r="U296" s="25" t="n"/>
      <x:c r="V296" s="25" t="n"/>
      <x:c r="W296" s="25">
        <x:f>IF(OR(AND(OR(O296="DELIVERED",O296="PARTIAL"),J296&lt;&gt;TRUE),AND(OR(E296="CASH",E296="DAY CHEQUE",E296="POST DATED CHQ"),I296&lt;&gt;TRUE),AND(OR(E296="CASH",E296="DAY CHEQUE",E296="POST DATED CHQ"),K296&lt;&gt;TRUE),AND(E296="POST DATED CHQ",ISBLANK(M296)),P296=TRUE,Q296=TRUE,AND(R296=TRUE,OR(ISBLANK(S296),ISBLANK(T296))),AND(E296="ONLINE",V296&lt;&gt;TRUE),AND(I296=TRUE,U296&lt;&gt;TRUE)),TRUE,FALSE)</x:f>
      </x:c>
      <x:c r="X296" s="22" t="n"/>
    </x:row>
    <x:row r="297">
      <x:c r="A297" s="22" t="n"/>
      <x:c r="B297" s="22" t="n"/>
      <x:c r="C297" s="22" t="n"/>
      <x:c r="D297" s="22" t="n"/>
      <x:c r="E297" s="22" t="n"/>
      <x:c r="F297" s="23" t="n"/>
      <x:c r="G297" s="23" t="n"/>
      <x:c r="H297" s="24">
        <x:f>IF(OR(ISBLANK(F297),ISBLANK(G297)),"",G297-F297)</x:f>
      </x:c>
      <x:c r="I297" s="25" t="n"/>
      <x:c r="J297" s="25" t="n"/>
      <x:c r="K297" s="25" t="n"/>
      <x:c r="L297" s="22" t="n"/>
      <x:c r="M297" s="22" t="n"/>
      <x:c r="N297" s="22" t="n"/>
      <x:c r="O297" s="22" t="n"/>
      <x:c r="P297" s="25" t="n"/>
      <x:c r="Q297" s="25" t="n"/>
      <x:c r="R297" s="25" t="n"/>
      <x:c r="S297" s="22" t="n"/>
      <x:c r="T297" s="23" t="n"/>
      <x:c r="U297" s="25" t="n"/>
      <x:c r="V297" s="25" t="n"/>
      <x:c r="W297" s="25">
        <x:f>IF(OR(AND(OR(O297="DELIVERED",O297="PARTIAL"),J297&lt;&gt;TRUE),AND(OR(E297="CASH",E297="DAY CHEQUE",E297="POST DATED CHQ"),I297&lt;&gt;TRUE),AND(OR(E297="CASH",E297="DAY CHEQUE",E297="POST DATED CHQ"),K297&lt;&gt;TRUE),AND(E297="POST DATED CHQ",ISBLANK(M297)),P297=TRUE,Q297=TRUE,AND(R297=TRUE,OR(ISBLANK(S297),ISBLANK(T297))),AND(E297="ONLINE",V297&lt;&gt;TRUE),AND(I297=TRUE,U297&lt;&gt;TRUE)),TRUE,FALSE)</x:f>
      </x:c>
      <x:c r="X297" s="22" t="n"/>
    </x:row>
    <x:row r="298">
      <x:c r="A298" s="22" t="n"/>
      <x:c r="B298" s="22" t="n"/>
      <x:c r="C298" s="22" t="n"/>
      <x:c r="D298" s="22" t="n"/>
      <x:c r="E298" s="22" t="n"/>
      <x:c r="F298" s="23" t="n"/>
      <x:c r="G298" s="23" t="n"/>
      <x:c r="H298" s="24">
        <x:f>IF(OR(ISBLANK(F298),ISBLANK(G298)),"",G298-F298)</x:f>
      </x:c>
      <x:c r="I298" s="25" t="n"/>
      <x:c r="J298" s="25" t="n"/>
      <x:c r="K298" s="25" t="n"/>
      <x:c r="L298" s="22" t="n"/>
      <x:c r="M298" s="22" t="n"/>
      <x:c r="N298" s="22" t="n"/>
      <x:c r="O298" s="22" t="n"/>
      <x:c r="P298" s="25" t="n"/>
      <x:c r="Q298" s="25" t="n"/>
      <x:c r="R298" s="25" t="n"/>
      <x:c r="S298" s="22" t="n"/>
      <x:c r="T298" s="23" t="n"/>
      <x:c r="U298" s="25" t="n"/>
      <x:c r="V298" s="25" t="n"/>
      <x:c r="W298" s="25">
        <x:f>IF(OR(AND(OR(O298="DELIVERED",O298="PARTIAL"),J298&lt;&gt;TRUE),AND(OR(E298="CASH",E298="DAY CHEQUE",E298="POST DATED CHQ"),I298&lt;&gt;TRUE),AND(OR(E298="CASH",E298="DAY CHEQUE",E298="POST DATED CHQ"),K298&lt;&gt;TRUE),AND(E298="POST DATED CHQ",ISBLANK(M298)),P298=TRUE,Q298=TRUE,AND(R298=TRUE,OR(ISBLANK(S298),ISBLANK(T298))),AND(E298="ONLINE",V298&lt;&gt;TRUE),AND(I298=TRUE,U298&lt;&gt;TRUE)),TRUE,FALSE)</x:f>
      </x:c>
      <x:c r="X298" s="22" t="n"/>
    </x:row>
    <x:row r="299">
      <x:c r="A299" s="22" t="n"/>
      <x:c r="B299" s="22" t="n"/>
      <x:c r="C299" s="22" t="n"/>
      <x:c r="D299" s="22" t="n"/>
      <x:c r="E299" s="22" t="n"/>
      <x:c r="F299" s="23" t="n"/>
      <x:c r="G299" s="23" t="n"/>
      <x:c r="H299" s="24">
        <x:f>IF(OR(ISBLANK(F299),ISBLANK(G299)),"",G299-F299)</x:f>
      </x:c>
      <x:c r="I299" s="25" t="n"/>
      <x:c r="J299" s="25" t="n"/>
      <x:c r="K299" s="25" t="n"/>
      <x:c r="L299" s="22" t="n"/>
      <x:c r="M299" s="22" t="n"/>
      <x:c r="N299" s="22" t="n"/>
      <x:c r="O299" s="22" t="n"/>
      <x:c r="P299" s="25" t="n"/>
      <x:c r="Q299" s="25" t="n"/>
      <x:c r="R299" s="25" t="n"/>
      <x:c r="S299" s="22" t="n"/>
      <x:c r="T299" s="23" t="n"/>
      <x:c r="U299" s="25" t="n"/>
      <x:c r="V299" s="25" t="n"/>
      <x:c r="W299" s="25">
        <x:f>IF(OR(AND(OR(O299="DELIVERED",O299="PARTIAL"),J299&lt;&gt;TRUE),AND(OR(E299="CASH",E299="DAY CHEQUE",E299="POST DATED CHQ"),I299&lt;&gt;TRUE),AND(OR(E299="CASH",E299="DAY CHEQUE",E299="POST DATED CHQ"),K299&lt;&gt;TRUE),AND(E299="POST DATED CHQ",ISBLANK(M299)),P299=TRUE,Q299=TRUE,AND(R299=TRUE,OR(ISBLANK(S299),ISBLANK(T299))),AND(E299="ONLINE",V299&lt;&gt;TRUE),AND(I299=TRUE,U299&lt;&gt;TRUE)),TRUE,FALSE)</x:f>
      </x:c>
      <x:c r="X299" s="22" t="n"/>
    </x:row>
    <x:row r="300">
      <x:c r="A300" s="22" t="n"/>
      <x:c r="B300" s="22" t="n"/>
      <x:c r="C300" s="22" t="n"/>
      <x:c r="D300" s="22" t="n"/>
      <x:c r="E300" s="22" t="n"/>
      <x:c r="F300" s="23" t="n"/>
      <x:c r="G300" s="23" t="n"/>
      <x:c r="H300" s="24">
        <x:f>IF(OR(ISBLANK(F300),ISBLANK(G300)),"",G300-F300)</x:f>
      </x:c>
      <x:c r="I300" s="25" t="n"/>
      <x:c r="J300" s="25" t="n"/>
      <x:c r="K300" s="25" t="n"/>
      <x:c r="L300" s="22" t="n"/>
      <x:c r="M300" s="22" t="n"/>
      <x:c r="N300" s="22" t="n"/>
      <x:c r="O300" s="22" t="n"/>
      <x:c r="P300" s="25" t="n"/>
      <x:c r="Q300" s="25" t="n"/>
      <x:c r="R300" s="25" t="n"/>
      <x:c r="S300" s="22" t="n"/>
      <x:c r="T300" s="23" t="n"/>
      <x:c r="U300" s="25" t="n"/>
      <x:c r="V300" s="25" t="n"/>
      <x:c r="W300" s="25">
        <x:f>IF(OR(AND(OR(O300="DELIVERED",O300="PARTIAL"),J300&lt;&gt;TRUE),AND(OR(E300="CASH",E300="DAY CHEQUE",E300="POST DATED CHQ"),I300&lt;&gt;TRUE),AND(OR(E300="CASH",E300="DAY CHEQUE",E300="POST DATED CHQ"),K300&lt;&gt;TRUE),AND(E300="POST DATED CHQ",ISBLANK(M300)),P300=TRUE,Q300=TRUE,AND(R300=TRUE,OR(ISBLANK(S300),ISBLANK(T300))),AND(E300="ONLINE",V300&lt;&gt;TRUE),AND(I300=TRUE,U300&lt;&gt;TRUE)),TRUE,FALSE)</x:f>
      </x:c>
      <x:c r="X300" s="22" t="n"/>
    </x:row>
    <x:row r="301">
      <x:c r="A301" s="22" t="n"/>
      <x:c r="B301" s="22" t="n"/>
      <x:c r="C301" s="22" t="n"/>
      <x:c r="D301" s="22" t="n"/>
      <x:c r="E301" s="22" t="n"/>
      <x:c r="F301" s="23" t="n"/>
      <x:c r="G301" s="23" t="n"/>
      <x:c r="H301" s="24">
        <x:f>IF(OR(ISBLANK(F301),ISBLANK(G301)),"",G301-F301)</x:f>
      </x:c>
      <x:c r="I301" s="25" t="n"/>
      <x:c r="J301" s="25" t="n"/>
      <x:c r="K301" s="25" t="n"/>
      <x:c r="L301" s="22" t="n"/>
      <x:c r="M301" s="22" t="n"/>
      <x:c r="N301" s="22" t="n"/>
      <x:c r="O301" s="22" t="n"/>
      <x:c r="P301" s="25" t="n"/>
      <x:c r="Q301" s="25" t="n"/>
      <x:c r="R301" s="25" t="n"/>
      <x:c r="S301" s="22" t="n"/>
      <x:c r="T301" s="23" t="n"/>
      <x:c r="U301" s="25" t="n"/>
      <x:c r="V301" s="25" t="n"/>
      <x:c r="W301" s="25">
        <x:f>IF(OR(AND(OR(O301="DELIVERED",O301="PARTIAL"),J301&lt;&gt;TRUE),AND(OR(E301="CASH",E301="DAY CHEQUE",E301="POST DATED CHQ"),I301&lt;&gt;TRUE),AND(OR(E301="CASH",E301="DAY CHEQUE",E301="POST DATED CHQ"),K301&lt;&gt;TRUE),AND(E301="POST DATED CHQ",ISBLANK(M301)),P301=TRUE,Q301=TRUE,AND(R301=TRUE,OR(ISBLANK(S301),ISBLANK(T301))),AND(E301="ONLINE",V301&lt;&gt;TRUE),AND(I301=TRUE,U301&lt;&gt;TRUE)),TRUE,FALSE)</x:f>
      </x:c>
      <x:c r="X301" s="22" t="n"/>
    </x:row>
    <x:row r="302">
      <x:c r="A302" s="22" t="n"/>
      <x:c r="B302" s="22" t="n"/>
      <x:c r="C302" s="22" t="n"/>
      <x:c r="D302" s="22" t="n"/>
      <x:c r="E302" s="22" t="n"/>
      <x:c r="F302" s="23" t="n"/>
      <x:c r="G302" s="23" t="n"/>
      <x:c r="H302" s="24">
        <x:f>IF(OR(ISBLANK(F302),ISBLANK(G302)),"",G302-F302)</x:f>
      </x:c>
      <x:c r="I302" s="25" t="n"/>
      <x:c r="J302" s="25" t="n"/>
      <x:c r="K302" s="25" t="n"/>
      <x:c r="L302" s="22" t="n"/>
      <x:c r="M302" s="22" t="n"/>
      <x:c r="N302" s="22" t="n"/>
      <x:c r="O302" s="22" t="n"/>
      <x:c r="P302" s="25" t="n"/>
      <x:c r="Q302" s="25" t="n"/>
      <x:c r="R302" s="25" t="n"/>
      <x:c r="S302" s="22" t="n"/>
      <x:c r="T302" s="23" t="n"/>
      <x:c r="U302" s="25" t="n"/>
      <x:c r="V302" s="25" t="n"/>
      <x:c r="W302" s="25">
        <x:f>IF(OR(AND(OR(O302="DELIVERED",O302="PARTIAL"),J302&lt;&gt;TRUE),AND(OR(E302="CASH",E302="DAY CHEQUE",E302="POST DATED CHQ"),I302&lt;&gt;TRUE),AND(OR(E302="CASH",E302="DAY CHEQUE",E302="POST DATED CHQ"),K302&lt;&gt;TRUE),AND(E302="POST DATED CHQ",ISBLANK(M302)),P302=TRUE,Q302=TRUE,AND(R302=TRUE,OR(ISBLANK(S302),ISBLANK(T302))),AND(E302="ONLINE",V302&lt;&gt;TRUE),AND(I302=TRUE,U302&lt;&gt;TRUE)),TRUE,FALSE)</x:f>
      </x:c>
      <x:c r="X302" s="22" t="n"/>
    </x:row>
    <x:row r="303">
      <x:c r="A303" s="22" t="n"/>
      <x:c r="B303" s="22" t="n"/>
      <x:c r="C303" s="22" t="n"/>
      <x:c r="D303" s="22" t="n"/>
      <x:c r="E303" s="22" t="n"/>
      <x:c r="F303" s="23" t="n"/>
      <x:c r="G303" s="23" t="n"/>
      <x:c r="H303" s="24">
        <x:f>IF(OR(ISBLANK(F303),ISBLANK(G303)),"",G303-F303)</x:f>
      </x:c>
      <x:c r="I303" s="25" t="n"/>
      <x:c r="J303" s="25" t="n"/>
      <x:c r="K303" s="25" t="n"/>
      <x:c r="L303" s="22" t="n"/>
      <x:c r="M303" s="22" t="n"/>
      <x:c r="N303" s="22" t="n"/>
      <x:c r="O303" s="22" t="n"/>
      <x:c r="P303" s="25" t="n"/>
      <x:c r="Q303" s="25" t="n"/>
      <x:c r="R303" s="25" t="n"/>
      <x:c r="S303" s="22" t="n"/>
      <x:c r="T303" s="23" t="n"/>
      <x:c r="U303" s="25" t="n"/>
      <x:c r="V303" s="25" t="n"/>
      <x:c r="W303" s="25">
        <x:f>IF(OR(AND(OR(O303="DELIVERED",O303="PARTIAL"),J303&lt;&gt;TRUE),AND(OR(E303="CASH",E303="DAY CHEQUE",E303="POST DATED CHQ"),I303&lt;&gt;TRUE),AND(OR(E303="CASH",E303="DAY CHEQUE",E303="POST DATED CHQ"),K303&lt;&gt;TRUE),AND(E303="POST DATED CHQ",ISBLANK(M303)),P303=TRUE,Q303=TRUE,AND(R303=TRUE,OR(ISBLANK(S303),ISBLANK(T303))),AND(E303="ONLINE",V303&lt;&gt;TRUE),AND(I303=TRUE,U303&lt;&gt;TRUE)),TRUE,FALSE)</x:f>
      </x:c>
      <x:c r="X303" s="22" t="n"/>
    </x:row>
    <x:row r="304">
      <x:c r="A304" s="22" t="n"/>
      <x:c r="B304" s="22" t="n"/>
      <x:c r="C304" s="22" t="n"/>
      <x:c r="D304" s="22" t="n"/>
      <x:c r="E304" s="22" t="n"/>
      <x:c r="F304" s="23" t="n"/>
      <x:c r="G304" s="23" t="n"/>
      <x:c r="H304" s="24">
        <x:f>IF(OR(ISBLANK(F304),ISBLANK(G304)),"",G304-F304)</x:f>
      </x:c>
      <x:c r="I304" s="25" t="n"/>
      <x:c r="J304" s="25" t="n"/>
      <x:c r="K304" s="25" t="n"/>
      <x:c r="L304" s="22" t="n"/>
      <x:c r="M304" s="22" t="n"/>
      <x:c r="N304" s="22" t="n"/>
      <x:c r="O304" s="22" t="n"/>
      <x:c r="P304" s="25" t="n"/>
      <x:c r="Q304" s="25" t="n"/>
      <x:c r="R304" s="25" t="n"/>
      <x:c r="S304" s="22" t="n"/>
      <x:c r="T304" s="23" t="n"/>
      <x:c r="U304" s="25" t="n"/>
      <x:c r="V304" s="25" t="n"/>
      <x:c r="W304" s="25">
        <x:f>IF(OR(AND(OR(O304="DELIVERED",O304="PARTIAL"),J304&lt;&gt;TRUE),AND(OR(E304="CASH",E304="DAY CHEQUE",E304="POST DATED CHQ"),I304&lt;&gt;TRUE),AND(OR(E304="CASH",E304="DAY CHEQUE",E304="POST DATED CHQ"),K304&lt;&gt;TRUE),AND(E304="POST DATED CHQ",ISBLANK(M304)),P304=TRUE,Q304=TRUE,AND(R304=TRUE,OR(ISBLANK(S304),ISBLANK(T304))),AND(E304="ONLINE",V304&lt;&gt;TRUE),AND(I304=TRUE,U304&lt;&gt;TRUE)),TRUE,FALSE)</x:f>
      </x:c>
      <x:c r="X304" s="22" t="n"/>
    </x:row>
    <x:row r="305">
      <x:c r="A305" s="22" t="n"/>
      <x:c r="B305" s="22" t="n"/>
      <x:c r="C305" s="22" t="n"/>
      <x:c r="D305" s="22" t="n"/>
      <x:c r="E305" s="22" t="n"/>
      <x:c r="F305" s="23" t="n"/>
      <x:c r="G305" s="23" t="n"/>
      <x:c r="H305" s="24">
        <x:f>IF(OR(ISBLANK(F305),ISBLANK(G305)),"",G305-F305)</x:f>
      </x:c>
      <x:c r="I305" s="25" t="n"/>
      <x:c r="J305" s="25" t="n"/>
      <x:c r="K305" s="25" t="n"/>
      <x:c r="L305" s="22" t="n"/>
      <x:c r="M305" s="22" t="n"/>
      <x:c r="N305" s="22" t="n"/>
      <x:c r="O305" s="22" t="n"/>
      <x:c r="P305" s="25" t="n"/>
      <x:c r="Q305" s="25" t="n"/>
      <x:c r="R305" s="25" t="n"/>
      <x:c r="S305" s="22" t="n"/>
      <x:c r="T305" s="23" t="n"/>
      <x:c r="U305" s="25" t="n"/>
      <x:c r="V305" s="25" t="n"/>
      <x:c r="W305" s="25">
        <x:f>IF(OR(AND(OR(O305="DELIVERED",O305="PARTIAL"),J305&lt;&gt;TRUE),AND(OR(E305="CASH",E305="DAY CHEQUE",E305="POST DATED CHQ"),I305&lt;&gt;TRUE),AND(OR(E305="CASH",E305="DAY CHEQUE",E305="POST DATED CHQ"),K305&lt;&gt;TRUE),AND(E305="POST DATED CHQ",ISBLANK(M305)),P305=TRUE,Q305=TRUE,AND(R305=TRUE,OR(ISBLANK(S305),ISBLANK(T305))),AND(E305="ONLINE",V305&lt;&gt;TRUE),AND(I305=TRUE,U305&lt;&gt;TRUE)),TRUE,FALSE)</x:f>
      </x:c>
      <x:c r="X305" s="22" t="n"/>
    </x:row>
    <x:row r="306">
      <x:c r="A306" s="22" t="n"/>
      <x:c r="B306" s="22" t="n"/>
      <x:c r="C306" s="22" t="n"/>
      <x:c r="D306" s="22" t="n"/>
      <x:c r="E306" s="22" t="n"/>
      <x:c r="F306" s="23" t="n"/>
      <x:c r="G306" s="23" t="n"/>
      <x:c r="H306" s="24">
        <x:f>IF(OR(ISBLANK(F306),ISBLANK(G306)),"",G306-F306)</x:f>
      </x:c>
      <x:c r="I306" s="25" t="n"/>
      <x:c r="J306" s="25" t="n"/>
      <x:c r="K306" s="25" t="n"/>
      <x:c r="L306" s="22" t="n"/>
      <x:c r="M306" s="22" t="n"/>
      <x:c r="N306" s="22" t="n"/>
      <x:c r="O306" s="22" t="n"/>
      <x:c r="P306" s="25" t="n"/>
      <x:c r="Q306" s="25" t="n"/>
      <x:c r="R306" s="25" t="n"/>
      <x:c r="S306" s="22" t="n"/>
      <x:c r="T306" s="23" t="n"/>
      <x:c r="U306" s="25" t="n"/>
      <x:c r="V306" s="25" t="n"/>
      <x:c r="W306" s="25">
        <x:f>IF(OR(AND(OR(O306="DELIVERED",O306="PARTIAL"),J306&lt;&gt;TRUE),AND(OR(E306="CASH",E306="DAY CHEQUE",E306="POST DATED CHQ"),I306&lt;&gt;TRUE),AND(OR(E306="CASH",E306="DAY CHEQUE",E306="POST DATED CHQ"),K306&lt;&gt;TRUE),AND(E306="POST DATED CHQ",ISBLANK(M306)),P306=TRUE,Q306=TRUE,AND(R306=TRUE,OR(ISBLANK(S306),ISBLANK(T306))),AND(E306="ONLINE",V306&lt;&gt;TRUE),AND(I306=TRUE,U306&lt;&gt;TRUE)),TRUE,FALSE)</x:f>
      </x:c>
      <x:c r="X306" s="22" t="n"/>
    </x:row>
    <x:row r="307">
      <x:c r="A307" s="22" t="n"/>
      <x:c r="B307" s="22" t="n"/>
      <x:c r="C307" s="22" t="n"/>
      <x:c r="D307" s="22" t="n"/>
      <x:c r="E307" s="22" t="n"/>
      <x:c r="F307" s="23" t="n"/>
      <x:c r="G307" s="23" t="n"/>
      <x:c r="H307" s="24">
        <x:f>IF(OR(ISBLANK(F307),ISBLANK(G307)),"",G307-F307)</x:f>
      </x:c>
      <x:c r="I307" s="25" t="n"/>
      <x:c r="J307" s="25" t="n"/>
      <x:c r="K307" s="25" t="n"/>
      <x:c r="L307" s="22" t="n"/>
      <x:c r="M307" s="22" t="n"/>
      <x:c r="N307" s="22" t="n"/>
      <x:c r="O307" s="22" t="n"/>
      <x:c r="P307" s="25" t="n"/>
      <x:c r="Q307" s="25" t="n"/>
      <x:c r="R307" s="25" t="n"/>
      <x:c r="S307" s="22" t="n"/>
      <x:c r="T307" s="23" t="n"/>
      <x:c r="U307" s="25" t="n"/>
      <x:c r="V307" s="25" t="n"/>
      <x:c r="W307" s="25">
        <x:f>IF(OR(AND(OR(O307="DELIVERED",O307="PARTIAL"),J307&lt;&gt;TRUE),AND(OR(E307="CASH",E307="DAY CHEQUE",E307="POST DATED CHQ"),I307&lt;&gt;TRUE),AND(OR(E307="CASH",E307="DAY CHEQUE",E307="POST DATED CHQ"),K307&lt;&gt;TRUE),AND(E307="POST DATED CHQ",ISBLANK(M307)),P307=TRUE,Q307=TRUE,AND(R307=TRUE,OR(ISBLANK(S307),ISBLANK(T307))),AND(E307="ONLINE",V307&lt;&gt;TRUE),AND(I307=TRUE,U307&lt;&gt;TRUE)),TRUE,FALSE)</x:f>
      </x:c>
      <x:c r="X307" s="22" t="n"/>
    </x:row>
    <x:row r="308">
      <x:c r="A308" s="22" t="n"/>
      <x:c r="B308" s="22" t="n"/>
      <x:c r="C308" s="22" t="n"/>
      <x:c r="D308" s="22" t="n"/>
      <x:c r="E308" s="22" t="n"/>
      <x:c r="F308" s="23" t="n"/>
      <x:c r="G308" s="23" t="n"/>
      <x:c r="H308" s="24">
        <x:f>IF(OR(ISBLANK(F308),ISBLANK(G308)),"",G308-F308)</x:f>
      </x:c>
      <x:c r="I308" s="25" t="n"/>
      <x:c r="J308" s="25" t="n"/>
      <x:c r="K308" s="25" t="n"/>
      <x:c r="L308" s="22" t="n"/>
      <x:c r="M308" s="22" t="n"/>
      <x:c r="N308" s="22" t="n"/>
      <x:c r="O308" s="22" t="n"/>
      <x:c r="P308" s="25" t="n"/>
      <x:c r="Q308" s="25" t="n"/>
      <x:c r="R308" s="25" t="n"/>
      <x:c r="S308" s="22" t="n"/>
      <x:c r="T308" s="23" t="n"/>
      <x:c r="U308" s="25" t="n"/>
      <x:c r="V308" s="25" t="n"/>
      <x:c r="W308" s="25">
        <x:f>IF(OR(AND(OR(O308="DELIVERED",O308="PARTIAL"),J308&lt;&gt;TRUE),AND(OR(E308="CASH",E308="DAY CHEQUE",E308="POST DATED CHQ"),I308&lt;&gt;TRUE),AND(OR(E308="CASH",E308="DAY CHEQUE",E308="POST DATED CHQ"),K308&lt;&gt;TRUE),AND(E308="POST DATED CHQ",ISBLANK(M308)),P308=TRUE,Q308=TRUE,AND(R308=TRUE,OR(ISBLANK(S308),ISBLANK(T308))),AND(E308="ONLINE",V308&lt;&gt;TRUE),AND(I308=TRUE,U308&lt;&gt;TRUE)),TRUE,FALSE)</x:f>
      </x:c>
      <x:c r="X308" s="22" t="n"/>
    </x:row>
    <x:row r="309">
      <x:c r="A309" s="22" t="n"/>
      <x:c r="B309" s="22" t="n"/>
      <x:c r="C309" s="22" t="n"/>
      <x:c r="D309" s="22" t="n"/>
      <x:c r="E309" s="22" t="n"/>
      <x:c r="F309" s="23" t="n"/>
      <x:c r="G309" s="23" t="n"/>
      <x:c r="H309" s="24">
        <x:f>IF(OR(ISBLANK(F309),ISBLANK(G309)),"",G309-F309)</x:f>
      </x:c>
      <x:c r="I309" s="25" t="n"/>
      <x:c r="J309" s="25" t="n"/>
      <x:c r="K309" s="25" t="n"/>
      <x:c r="L309" s="22" t="n"/>
      <x:c r="M309" s="22" t="n"/>
      <x:c r="N309" s="22" t="n"/>
      <x:c r="O309" s="22" t="n"/>
      <x:c r="P309" s="25" t="n"/>
      <x:c r="Q309" s="25" t="n"/>
      <x:c r="R309" s="25" t="n"/>
      <x:c r="S309" s="22" t="n"/>
      <x:c r="T309" s="23" t="n"/>
      <x:c r="U309" s="25" t="n"/>
      <x:c r="V309" s="25" t="n"/>
      <x:c r="W309" s="25">
        <x:f>IF(OR(AND(OR(O309="DELIVERED",O309="PARTIAL"),J309&lt;&gt;TRUE),AND(OR(E309="CASH",E309="DAY CHEQUE",E309="POST DATED CHQ"),I309&lt;&gt;TRUE),AND(OR(E309="CASH",E309="DAY CHEQUE",E309="POST DATED CHQ"),K309&lt;&gt;TRUE),AND(E309="POST DATED CHQ",ISBLANK(M309)),P309=TRUE,Q309=TRUE,AND(R309=TRUE,OR(ISBLANK(S309),ISBLANK(T309))),AND(E309="ONLINE",V309&lt;&gt;TRUE),AND(I309=TRUE,U309&lt;&gt;TRUE)),TRUE,FALSE)</x:f>
      </x:c>
      <x:c r="X309" s="22" t="n"/>
    </x:row>
    <x:row r="310">
      <x:c r="A310" s="22" t="n"/>
      <x:c r="B310" s="22" t="n"/>
      <x:c r="C310" s="22" t="n"/>
      <x:c r="D310" s="22" t="n"/>
      <x:c r="E310" s="22" t="n"/>
      <x:c r="F310" s="23" t="n"/>
      <x:c r="G310" s="23" t="n"/>
      <x:c r="H310" s="24">
        <x:f>IF(OR(ISBLANK(F310),ISBLANK(G310)),"",G310-F310)</x:f>
      </x:c>
      <x:c r="I310" s="25" t="n"/>
      <x:c r="J310" s="25" t="n"/>
      <x:c r="K310" s="25" t="n"/>
      <x:c r="L310" s="22" t="n"/>
      <x:c r="M310" s="22" t="n"/>
      <x:c r="N310" s="22" t="n"/>
      <x:c r="O310" s="22" t="n"/>
      <x:c r="P310" s="25" t="n"/>
      <x:c r="Q310" s="25" t="n"/>
      <x:c r="R310" s="25" t="n"/>
      <x:c r="S310" s="22" t="n"/>
      <x:c r="T310" s="23" t="n"/>
      <x:c r="U310" s="25" t="n"/>
      <x:c r="V310" s="25" t="n"/>
      <x:c r="W310" s="25">
        <x:f>IF(OR(AND(OR(O310="DELIVERED",O310="PARTIAL"),J310&lt;&gt;TRUE),AND(OR(E310="CASH",E310="DAY CHEQUE",E310="POST DATED CHQ"),I310&lt;&gt;TRUE),AND(OR(E310="CASH",E310="DAY CHEQUE",E310="POST DATED CHQ"),K310&lt;&gt;TRUE),AND(E310="POST DATED CHQ",ISBLANK(M310)),P310=TRUE,Q310=TRUE,AND(R310=TRUE,OR(ISBLANK(S310),ISBLANK(T310))),AND(E310="ONLINE",V310&lt;&gt;TRUE),AND(I310=TRUE,U310&lt;&gt;TRUE)),TRUE,FALSE)</x:f>
      </x:c>
      <x:c r="X310" s="22" t="n"/>
    </x:row>
    <x:row r="311">
      <x:c r="A311" s="22" t="n"/>
      <x:c r="B311" s="22" t="n"/>
      <x:c r="C311" s="22" t="n"/>
      <x:c r="D311" s="22" t="n"/>
      <x:c r="E311" s="22" t="n"/>
      <x:c r="F311" s="23" t="n"/>
      <x:c r="G311" s="23" t="n"/>
      <x:c r="H311" s="24">
        <x:f>IF(OR(ISBLANK(F311),ISBLANK(G311)),"",G311-F311)</x:f>
      </x:c>
      <x:c r="I311" s="25" t="n"/>
      <x:c r="J311" s="25" t="n"/>
      <x:c r="K311" s="25" t="n"/>
      <x:c r="L311" s="22" t="n"/>
      <x:c r="M311" s="22" t="n"/>
      <x:c r="N311" s="22" t="n"/>
      <x:c r="O311" s="22" t="n"/>
      <x:c r="P311" s="25" t="n"/>
      <x:c r="Q311" s="25" t="n"/>
      <x:c r="R311" s="25" t="n"/>
      <x:c r="S311" s="22" t="n"/>
      <x:c r="T311" s="23" t="n"/>
      <x:c r="U311" s="25" t="n"/>
      <x:c r="V311" s="25" t="n"/>
      <x:c r="W311" s="25">
        <x:f>IF(OR(AND(OR(O311="DELIVERED",O311="PARTIAL"),J311&lt;&gt;TRUE),AND(OR(E311="CASH",E311="DAY CHEQUE",E311="POST DATED CHQ"),I311&lt;&gt;TRUE),AND(OR(E311="CASH",E311="DAY CHEQUE",E311="POST DATED CHQ"),K311&lt;&gt;TRUE),AND(E311="POST DATED CHQ",ISBLANK(M311)),P311=TRUE,Q311=TRUE,AND(R311=TRUE,OR(ISBLANK(S311),ISBLANK(T311))),AND(E311="ONLINE",V311&lt;&gt;TRUE),AND(I311=TRUE,U311&lt;&gt;TRUE)),TRUE,FALSE)</x:f>
      </x:c>
      <x:c r="X311" s="22" t="n"/>
    </x:row>
    <x:row r="312">
      <x:c r="A312" s="22" t="n"/>
      <x:c r="B312" s="22" t="n"/>
      <x:c r="C312" s="22" t="n"/>
      <x:c r="D312" s="22" t="n"/>
      <x:c r="E312" s="22" t="n"/>
      <x:c r="F312" s="23" t="n"/>
      <x:c r="G312" s="23" t="n"/>
      <x:c r="H312" s="24">
        <x:f>IF(OR(ISBLANK(F312),ISBLANK(G312)),"",G312-F312)</x:f>
      </x:c>
      <x:c r="I312" s="25" t="n"/>
      <x:c r="J312" s="25" t="n"/>
      <x:c r="K312" s="25" t="n"/>
      <x:c r="L312" s="22" t="n"/>
      <x:c r="M312" s="22" t="n"/>
      <x:c r="N312" s="22" t="n"/>
      <x:c r="O312" s="22" t="n"/>
      <x:c r="P312" s="25" t="n"/>
      <x:c r="Q312" s="25" t="n"/>
      <x:c r="R312" s="25" t="n"/>
      <x:c r="S312" s="22" t="n"/>
      <x:c r="T312" s="23" t="n"/>
      <x:c r="U312" s="25" t="n"/>
      <x:c r="V312" s="25" t="n"/>
      <x:c r="W312" s="25">
        <x:f>IF(OR(AND(OR(O312="DELIVERED",O312="PARTIAL"),J312&lt;&gt;TRUE),AND(OR(E312="CASH",E312="DAY CHEQUE",E312="POST DATED CHQ"),I312&lt;&gt;TRUE),AND(OR(E312="CASH",E312="DAY CHEQUE",E312="POST DATED CHQ"),K312&lt;&gt;TRUE),AND(E312="POST DATED CHQ",ISBLANK(M312)),P312=TRUE,Q312=TRUE,AND(R312=TRUE,OR(ISBLANK(S312),ISBLANK(T312))),AND(E312="ONLINE",V312&lt;&gt;TRUE),AND(I312=TRUE,U312&lt;&gt;TRUE)),TRUE,FALSE)</x:f>
      </x:c>
      <x:c r="X312" s="22" t="n"/>
    </x:row>
    <x:row r="313">
      <x:c r="A313" s="22" t="n"/>
      <x:c r="B313" s="22" t="n"/>
      <x:c r="C313" s="22" t="n"/>
      <x:c r="D313" s="22" t="n"/>
      <x:c r="E313" s="22" t="n"/>
      <x:c r="F313" s="23" t="n"/>
      <x:c r="G313" s="23" t="n"/>
      <x:c r="H313" s="24">
        <x:f>IF(OR(ISBLANK(F313),ISBLANK(G313)),"",G313-F313)</x:f>
      </x:c>
      <x:c r="I313" s="25" t="n"/>
      <x:c r="J313" s="25" t="n"/>
      <x:c r="K313" s="25" t="n"/>
      <x:c r="L313" s="22" t="n"/>
      <x:c r="M313" s="22" t="n"/>
      <x:c r="N313" s="22" t="n"/>
      <x:c r="O313" s="22" t="n"/>
      <x:c r="P313" s="25" t="n"/>
      <x:c r="Q313" s="25" t="n"/>
      <x:c r="R313" s="25" t="n"/>
      <x:c r="S313" s="22" t="n"/>
      <x:c r="T313" s="23" t="n"/>
      <x:c r="U313" s="25" t="n"/>
      <x:c r="V313" s="25" t="n"/>
      <x:c r="W313" s="25">
        <x:f>IF(OR(AND(OR(O313="DELIVERED",O313="PARTIAL"),J313&lt;&gt;TRUE),AND(OR(E313="CASH",E313="DAY CHEQUE",E313="POST DATED CHQ"),I313&lt;&gt;TRUE),AND(OR(E313="CASH",E313="DAY CHEQUE",E313="POST DATED CHQ"),K313&lt;&gt;TRUE),AND(E313="POST DATED CHQ",ISBLANK(M313)),P313=TRUE,Q313=TRUE,AND(R313=TRUE,OR(ISBLANK(S313),ISBLANK(T313))),AND(E313="ONLINE",V313&lt;&gt;TRUE),AND(I313=TRUE,U313&lt;&gt;TRUE)),TRUE,FALSE)</x:f>
      </x:c>
      <x:c r="X313" s="22" t="n"/>
    </x:row>
    <x:row r="314">
      <x:c r="A314" s="22" t="n"/>
      <x:c r="B314" s="22" t="n"/>
      <x:c r="C314" s="22" t="n"/>
      <x:c r="D314" s="22" t="n"/>
      <x:c r="E314" s="22" t="n"/>
      <x:c r="F314" s="23" t="n"/>
      <x:c r="G314" s="23" t="n"/>
      <x:c r="H314" s="24">
        <x:f>IF(OR(ISBLANK(F314),ISBLANK(G314)),"",G314-F314)</x:f>
      </x:c>
      <x:c r="I314" s="25" t="n"/>
      <x:c r="J314" s="25" t="n"/>
      <x:c r="K314" s="25" t="n"/>
      <x:c r="L314" s="22" t="n"/>
      <x:c r="M314" s="22" t="n"/>
      <x:c r="N314" s="22" t="n"/>
      <x:c r="O314" s="22" t="n"/>
      <x:c r="P314" s="25" t="n"/>
      <x:c r="Q314" s="25" t="n"/>
      <x:c r="R314" s="25" t="n"/>
      <x:c r="S314" s="22" t="n"/>
      <x:c r="T314" s="23" t="n"/>
      <x:c r="U314" s="25" t="n"/>
      <x:c r="V314" s="25" t="n"/>
      <x:c r="W314" s="25">
        <x:f>IF(OR(AND(OR(O314="DELIVERED",O314="PARTIAL"),J314&lt;&gt;TRUE),AND(OR(E314="CASH",E314="DAY CHEQUE",E314="POST DATED CHQ"),I314&lt;&gt;TRUE),AND(OR(E314="CASH",E314="DAY CHEQUE",E314="POST DATED CHQ"),K314&lt;&gt;TRUE),AND(E314="POST DATED CHQ",ISBLANK(M314)),P314=TRUE,Q314=TRUE,AND(R314=TRUE,OR(ISBLANK(S314),ISBLANK(T314))),AND(E314="ONLINE",V314&lt;&gt;TRUE),AND(I314=TRUE,U314&lt;&gt;TRUE)),TRUE,FALSE)</x:f>
      </x:c>
      <x:c r="X314" s="22" t="n"/>
    </x:row>
    <x:row r="315">
      <x:c r="A315" s="22" t="n"/>
      <x:c r="B315" s="22" t="n"/>
      <x:c r="C315" s="22" t="n"/>
      <x:c r="D315" s="22" t="n"/>
      <x:c r="E315" s="22" t="n"/>
      <x:c r="F315" s="23" t="n"/>
      <x:c r="G315" s="23" t="n"/>
      <x:c r="H315" s="24">
        <x:f>IF(OR(ISBLANK(F315),ISBLANK(G315)),"",G315-F315)</x:f>
      </x:c>
      <x:c r="I315" s="25" t="n"/>
      <x:c r="J315" s="25" t="n"/>
      <x:c r="K315" s="25" t="n"/>
      <x:c r="L315" s="22" t="n"/>
      <x:c r="M315" s="22" t="n"/>
      <x:c r="N315" s="22" t="n"/>
      <x:c r="O315" s="22" t="n"/>
      <x:c r="P315" s="25" t="n"/>
      <x:c r="Q315" s="25" t="n"/>
      <x:c r="R315" s="25" t="n"/>
      <x:c r="S315" s="22" t="n"/>
      <x:c r="T315" s="23" t="n"/>
      <x:c r="U315" s="25" t="n"/>
      <x:c r="V315" s="25" t="n"/>
      <x:c r="W315" s="25">
        <x:f>IF(OR(AND(OR(O315="DELIVERED",O315="PARTIAL"),J315&lt;&gt;TRUE),AND(OR(E315="CASH",E315="DAY CHEQUE",E315="POST DATED CHQ"),I315&lt;&gt;TRUE),AND(OR(E315="CASH",E315="DAY CHEQUE",E315="POST DATED CHQ"),K315&lt;&gt;TRUE),AND(E315="POST DATED CHQ",ISBLANK(M315)),P315=TRUE,Q315=TRUE,AND(R315=TRUE,OR(ISBLANK(S315),ISBLANK(T315))),AND(E315="ONLINE",V315&lt;&gt;TRUE),AND(I315=TRUE,U315&lt;&gt;TRUE)),TRUE,FALSE)</x:f>
      </x:c>
      <x:c r="X315" s="22" t="n"/>
    </x:row>
    <x:row r="316">
      <x:c r="A316" s="22" t="n"/>
      <x:c r="B316" s="22" t="n"/>
      <x:c r="C316" s="22" t="n"/>
      <x:c r="D316" s="22" t="n"/>
      <x:c r="E316" s="22" t="n"/>
      <x:c r="F316" s="23" t="n"/>
      <x:c r="G316" s="23" t="n"/>
      <x:c r="H316" s="24">
        <x:f>IF(OR(ISBLANK(F316),ISBLANK(G316)),"",G316-F316)</x:f>
      </x:c>
      <x:c r="I316" s="25" t="n"/>
      <x:c r="J316" s="25" t="n"/>
      <x:c r="K316" s="25" t="n"/>
      <x:c r="L316" s="22" t="n"/>
      <x:c r="M316" s="22" t="n"/>
      <x:c r="N316" s="22" t="n"/>
      <x:c r="O316" s="22" t="n"/>
      <x:c r="P316" s="25" t="n"/>
      <x:c r="Q316" s="25" t="n"/>
      <x:c r="R316" s="25" t="n"/>
      <x:c r="S316" s="22" t="n"/>
      <x:c r="T316" s="23" t="n"/>
      <x:c r="U316" s="25" t="n"/>
      <x:c r="V316" s="25" t="n"/>
      <x:c r="W316" s="25">
        <x:f>IF(OR(AND(OR(O316="DELIVERED",O316="PARTIAL"),J316&lt;&gt;TRUE),AND(OR(E316="CASH",E316="DAY CHEQUE",E316="POST DATED CHQ"),I316&lt;&gt;TRUE),AND(OR(E316="CASH",E316="DAY CHEQUE",E316="POST DATED CHQ"),K316&lt;&gt;TRUE),AND(E316="POST DATED CHQ",ISBLANK(M316)),P316=TRUE,Q316=TRUE,AND(R316=TRUE,OR(ISBLANK(S316),ISBLANK(T316))),AND(E316="ONLINE",V316&lt;&gt;TRUE),AND(I316=TRUE,U316&lt;&gt;TRUE)),TRUE,FALSE)</x:f>
      </x:c>
      <x:c r="X316" s="22" t="n"/>
    </x:row>
    <x:row r="317">
      <x:c r="A317" s="22" t="n"/>
      <x:c r="B317" s="22" t="n"/>
      <x:c r="C317" s="22" t="n"/>
      <x:c r="D317" s="22" t="n"/>
      <x:c r="E317" s="22" t="n"/>
      <x:c r="F317" s="23" t="n"/>
      <x:c r="G317" s="23" t="n"/>
      <x:c r="H317" s="24">
        <x:f>IF(OR(ISBLANK(F317),ISBLANK(G317)),"",G317-F317)</x:f>
      </x:c>
      <x:c r="I317" s="25" t="n"/>
      <x:c r="J317" s="25" t="n"/>
      <x:c r="K317" s="25" t="n"/>
      <x:c r="L317" s="22" t="n"/>
      <x:c r="M317" s="22" t="n"/>
      <x:c r="N317" s="22" t="n"/>
      <x:c r="O317" s="22" t="n"/>
      <x:c r="P317" s="25" t="n"/>
      <x:c r="Q317" s="25" t="n"/>
      <x:c r="R317" s="25" t="n"/>
      <x:c r="S317" s="22" t="n"/>
      <x:c r="T317" s="23" t="n"/>
      <x:c r="U317" s="25" t="n"/>
      <x:c r="V317" s="25" t="n"/>
      <x:c r="W317" s="25">
        <x:f>IF(OR(AND(OR(O317="DELIVERED",O317="PARTIAL"),J317&lt;&gt;TRUE),AND(OR(E317="CASH",E317="DAY CHEQUE",E317="POST DATED CHQ"),I317&lt;&gt;TRUE),AND(OR(E317="CASH",E317="DAY CHEQUE",E317="POST DATED CHQ"),K317&lt;&gt;TRUE),AND(E317="POST DATED CHQ",ISBLANK(M317)),P317=TRUE,Q317=TRUE,AND(R317=TRUE,OR(ISBLANK(S317),ISBLANK(T317))),AND(E317="ONLINE",V317&lt;&gt;TRUE),AND(I317=TRUE,U317&lt;&gt;TRUE)),TRUE,FALSE)</x:f>
      </x:c>
      <x:c r="X317" s="22" t="n"/>
    </x:row>
    <x:row r="318">
      <x:c r="A318" s="22" t="n"/>
      <x:c r="B318" s="22" t="n"/>
      <x:c r="C318" s="22" t="n"/>
      <x:c r="D318" s="22" t="n"/>
      <x:c r="E318" s="22" t="n"/>
      <x:c r="F318" s="23" t="n"/>
      <x:c r="G318" s="23" t="n"/>
      <x:c r="H318" s="24">
        <x:f>IF(OR(ISBLANK(F318),ISBLANK(G318)),"",G318-F318)</x:f>
      </x:c>
      <x:c r="I318" s="25" t="n"/>
      <x:c r="J318" s="25" t="n"/>
      <x:c r="K318" s="25" t="n"/>
      <x:c r="L318" s="22" t="n"/>
      <x:c r="M318" s="22" t="n"/>
      <x:c r="N318" s="22" t="n"/>
      <x:c r="O318" s="22" t="n"/>
      <x:c r="P318" s="25" t="n"/>
      <x:c r="Q318" s="25" t="n"/>
      <x:c r="R318" s="25" t="n"/>
      <x:c r="S318" s="22" t="n"/>
      <x:c r="T318" s="23" t="n"/>
      <x:c r="U318" s="25" t="n"/>
      <x:c r="V318" s="25" t="n"/>
      <x:c r="W318" s="25">
        <x:f>IF(OR(AND(OR(O318="DELIVERED",O318="PARTIAL"),J318&lt;&gt;TRUE),AND(OR(E318="CASH",E318="DAY CHEQUE",E318="POST DATED CHQ"),I318&lt;&gt;TRUE),AND(OR(E318="CASH",E318="DAY CHEQUE",E318="POST DATED CHQ"),K318&lt;&gt;TRUE),AND(E318="POST DATED CHQ",ISBLANK(M318)),P318=TRUE,Q318=TRUE,AND(R318=TRUE,OR(ISBLANK(S318),ISBLANK(T318))),AND(E318="ONLINE",V318&lt;&gt;TRUE),AND(I318=TRUE,U318&lt;&gt;TRUE)),TRUE,FALSE)</x:f>
      </x:c>
      <x:c r="X318" s="22" t="n"/>
    </x:row>
    <x:row r="319">
      <x:c r="A319" s="22" t="n"/>
      <x:c r="B319" s="22" t="n"/>
      <x:c r="C319" s="22" t="n"/>
      <x:c r="D319" s="22" t="n"/>
      <x:c r="E319" s="22" t="n"/>
      <x:c r="F319" s="23" t="n"/>
      <x:c r="G319" s="23" t="n"/>
      <x:c r="H319" s="24">
        <x:f>IF(OR(ISBLANK(F319),ISBLANK(G319)),"",G319-F319)</x:f>
      </x:c>
      <x:c r="I319" s="25" t="n"/>
      <x:c r="J319" s="25" t="n"/>
      <x:c r="K319" s="25" t="n"/>
      <x:c r="L319" s="22" t="n"/>
      <x:c r="M319" s="22" t="n"/>
      <x:c r="N319" s="22" t="n"/>
      <x:c r="O319" s="22" t="n"/>
      <x:c r="P319" s="25" t="n"/>
      <x:c r="Q319" s="25" t="n"/>
      <x:c r="R319" s="25" t="n"/>
      <x:c r="S319" s="22" t="n"/>
      <x:c r="T319" s="23" t="n"/>
      <x:c r="U319" s="25" t="n"/>
      <x:c r="V319" s="25" t="n"/>
      <x:c r="W319" s="25">
        <x:f>IF(OR(AND(OR(O319="DELIVERED",O319="PARTIAL"),J319&lt;&gt;TRUE),AND(OR(E319="CASH",E319="DAY CHEQUE",E319="POST DATED CHQ"),I319&lt;&gt;TRUE),AND(OR(E319="CASH",E319="DAY CHEQUE",E319="POST DATED CHQ"),K319&lt;&gt;TRUE),AND(E319="POST DATED CHQ",ISBLANK(M319)),P319=TRUE,Q319=TRUE,AND(R319=TRUE,OR(ISBLANK(S319),ISBLANK(T319))),AND(E319="ONLINE",V319&lt;&gt;TRUE),AND(I319=TRUE,U319&lt;&gt;TRUE)),TRUE,FALSE)</x:f>
      </x:c>
      <x:c r="X319" s="22" t="n"/>
    </x:row>
    <x:row r="320">
      <x:c r="A320" s="22" t="n"/>
      <x:c r="B320" s="22" t="n"/>
      <x:c r="C320" s="22" t="n"/>
      <x:c r="D320" s="22" t="n"/>
      <x:c r="E320" s="22" t="n"/>
      <x:c r="F320" s="23" t="n"/>
      <x:c r="G320" s="23" t="n"/>
      <x:c r="H320" s="24">
        <x:f>IF(OR(ISBLANK(F320),ISBLANK(G320)),"",G320-F320)</x:f>
      </x:c>
      <x:c r="I320" s="25" t="n"/>
      <x:c r="J320" s="25" t="n"/>
      <x:c r="K320" s="25" t="n"/>
      <x:c r="L320" s="22" t="n"/>
      <x:c r="M320" s="22" t="n"/>
      <x:c r="N320" s="22" t="n"/>
      <x:c r="O320" s="22" t="n"/>
      <x:c r="P320" s="25" t="n"/>
      <x:c r="Q320" s="25" t="n"/>
      <x:c r="R320" s="25" t="n"/>
      <x:c r="S320" s="22" t="n"/>
      <x:c r="T320" s="23" t="n"/>
      <x:c r="U320" s="25" t="n"/>
      <x:c r="V320" s="25" t="n"/>
      <x:c r="W320" s="25">
        <x:f>IF(OR(AND(OR(O320="DELIVERED",O320="PARTIAL"),J320&lt;&gt;TRUE),AND(OR(E320="CASH",E320="DAY CHEQUE",E320="POST DATED CHQ"),I320&lt;&gt;TRUE),AND(OR(E320="CASH",E320="DAY CHEQUE",E320="POST DATED CHQ"),K320&lt;&gt;TRUE),AND(E320="POST DATED CHQ",ISBLANK(M320)),P320=TRUE,Q320=TRUE,AND(R320=TRUE,OR(ISBLANK(S320),ISBLANK(T320))),AND(E320="ONLINE",V320&lt;&gt;TRUE),AND(I320=TRUE,U320&lt;&gt;TRUE)),TRUE,FALSE)</x:f>
      </x:c>
      <x:c r="X320" s="22" t="n"/>
    </x:row>
    <x:row r="321">
      <x:c r="A321" s="22" t="n"/>
      <x:c r="B321" s="22" t="n"/>
      <x:c r="C321" s="22" t="n"/>
      <x:c r="D321" s="22" t="n"/>
      <x:c r="E321" s="22" t="n"/>
      <x:c r="F321" s="23" t="n"/>
      <x:c r="G321" s="23" t="n"/>
      <x:c r="H321" s="24">
        <x:f>IF(OR(ISBLANK(F321),ISBLANK(G321)),"",G321-F321)</x:f>
      </x:c>
      <x:c r="I321" s="25" t="n"/>
      <x:c r="J321" s="25" t="n"/>
      <x:c r="K321" s="25" t="n"/>
      <x:c r="L321" s="22" t="n"/>
      <x:c r="M321" s="22" t="n"/>
      <x:c r="N321" s="22" t="n"/>
      <x:c r="O321" s="22" t="n"/>
      <x:c r="P321" s="25" t="n"/>
      <x:c r="Q321" s="25" t="n"/>
      <x:c r="R321" s="25" t="n"/>
      <x:c r="S321" s="22" t="n"/>
      <x:c r="T321" s="23" t="n"/>
      <x:c r="U321" s="25" t="n"/>
      <x:c r="V321" s="25" t="n"/>
      <x:c r="W321" s="25">
        <x:f>IF(OR(AND(OR(O321="DELIVERED",O321="PARTIAL"),J321&lt;&gt;TRUE),AND(OR(E321="CASH",E321="DAY CHEQUE",E321="POST DATED CHQ"),I321&lt;&gt;TRUE),AND(OR(E321="CASH",E321="DAY CHEQUE",E321="POST DATED CHQ"),K321&lt;&gt;TRUE),AND(E321="POST DATED CHQ",ISBLANK(M321)),P321=TRUE,Q321=TRUE,AND(R321=TRUE,OR(ISBLANK(S321),ISBLANK(T321))),AND(E321="ONLINE",V321&lt;&gt;TRUE),AND(I321=TRUE,U321&lt;&gt;TRUE)),TRUE,FALSE)</x:f>
      </x:c>
      <x:c r="X321" s="22" t="n"/>
    </x:row>
    <x:row r="322">
      <x:c r="A322" s="22" t="n"/>
      <x:c r="B322" s="22" t="n"/>
      <x:c r="C322" s="22" t="n"/>
      <x:c r="D322" s="22" t="n"/>
      <x:c r="E322" s="22" t="n"/>
      <x:c r="F322" s="23" t="n"/>
      <x:c r="G322" s="23" t="n"/>
      <x:c r="H322" s="24">
        <x:f>IF(OR(ISBLANK(F322),ISBLANK(G322)),"",G322-F322)</x:f>
      </x:c>
      <x:c r="I322" s="25" t="n"/>
      <x:c r="J322" s="25" t="n"/>
      <x:c r="K322" s="25" t="n"/>
      <x:c r="L322" s="22" t="n"/>
      <x:c r="M322" s="22" t="n"/>
      <x:c r="N322" s="22" t="n"/>
      <x:c r="O322" s="22" t="n"/>
      <x:c r="P322" s="25" t="n"/>
      <x:c r="Q322" s="25" t="n"/>
      <x:c r="R322" s="25" t="n"/>
      <x:c r="S322" s="22" t="n"/>
      <x:c r="T322" s="23" t="n"/>
      <x:c r="U322" s="25" t="n"/>
      <x:c r="V322" s="25" t="n"/>
      <x:c r="W322" s="25">
        <x:f>IF(OR(AND(OR(O322="DELIVERED",O322="PARTIAL"),J322&lt;&gt;TRUE),AND(OR(E322="CASH",E322="DAY CHEQUE",E322="POST DATED CHQ"),I322&lt;&gt;TRUE),AND(OR(E322="CASH",E322="DAY CHEQUE",E322="POST DATED CHQ"),K322&lt;&gt;TRUE),AND(E322="POST DATED CHQ",ISBLANK(M322)),P322=TRUE,Q322=TRUE,AND(R322=TRUE,OR(ISBLANK(S322),ISBLANK(T322))),AND(E322="ONLINE",V322&lt;&gt;TRUE),AND(I322=TRUE,U322&lt;&gt;TRUE)),TRUE,FALSE)</x:f>
      </x:c>
      <x:c r="X322" s="22" t="n"/>
    </x:row>
    <x:row r="323">
      <x:c r="A323" s="22" t="n"/>
      <x:c r="B323" s="22" t="n"/>
      <x:c r="C323" s="22" t="n"/>
      <x:c r="D323" s="22" t="n"/>
      <x:c r="E323" s="22" t="n"/>
      <x:c r="F323" s="23" t="n"/>
      <x:c r="G323" s="23" t="n"/>
      <x:c r="H323" s="24">
        <x:f>IF(OR(ISBLANK(F323),ISBLANK(G323)),"",G323-F323)</x:f>
      </x:c>
      <x:c r="I323" s="25" t="n"/>
      <x:c r="J323" s="25" t="n"/>
      <x:c r="K323" s="25" t="n"/>
      <x:c r="L323" s="22" t="n"/>
      <x:c r="M323" s="22" t="n"/>
      <x:c r="N323" s="22" t="n"/>
      <x:c r="O323" s="22" t="n"/>
      <x:c r="P323" s="25" t="n"/>
      <x:c r="Q323" s="25" t="n"/>
      <x:c r="R323" s="25" t="n"/>
      <x:c r="S323" s="22" t="n"/>
      <x:c r="T323" s="23" t="n"/>
      <x:c r="U323" s="25" t="n"/>
      <x:c r="V323" s="25" t="n"/>
      <x:c r="W323" s="25">
        <x:f>IF(OR(AND(OR(O323="DELIVERED",O323="PARTIAL"),J323&lt;&gt;TRUE),AND(OR(E323="CASH",E323="DAY CHEQUE",E323="POST DATED CHQ"),I323&lt;&gt;TRUE),AND(OR(E323="CASH",E323="DAY CHEQUE",E323="POST DATED CHQ"),K323&lt;&gt;TRUE),AND(E323="POST DATED CHQ",ISBLANK(M323)),P323=TRUE,Q323=TRUE,AND(R323=TRUE,OR(ISBLANK(S323),ISBLANK(T323))),AND(E323="ONLINE",V323&lt;&gt;TRUE),AND(I323=TRUE,U323&lt;&gt;TRUE)),TRUE,FALSE)</x:f>
      </x:c>
      <x:c r="X323" s="22" t="n"/>
    </x:row>
    <x:row r="324">
      <x:c r="A324" s="22" t="n"/>
      <x:c r="B324" s="22" t="n"/>
      <x:c r="C324" s="22" t="n"/>
      <x:c r="D324" s="22" t="n"/>
      <x:c r="E324" s="22" t="n"/>
      <x:c r="F324" s="23" t="n"/>
      <x:c r="G324" s="23" t="n"/>
      <x:c r="H324" s="24">
        <x:f>IF(OR(ISBLANK(F324),ISBLANK(G324)),"",G324-F324)</x:f>
      </x:c>
      <x:c r="I324" s="25" t="n"/>
      <x:c r="J324" s="25" t="n"/>
      <x:c r="K324" s="25" t="n"/>
      <x:c r="L324" s="22" t="n"/>
      <x:c r="M324" s="22" t="n"/>
      <x:c r="N324" s="22" t="n"/>
      <x:c r="O324" s="22" t="n"/>
      <x:c r="P324" s="25" t="n"/>
      <x:c r="Q324" s="25" t="n"/>
      <x:c r="R324" s="25" t="n"/>
      <x:c r="S324" s="22" t="n"/>
      <x:c r="T324" s="23" t="n"/>
      <x:c r="U324" s="25" t="n"/>
      <x:c r="V324" s="25" t="n"/>
      <x:c r="W324" s="25">
        <x:f>IF(OR(AND(OR(O324="DELIVERED",O324="PARTIAL"),J324&lt;&gt;TRUE),AND(OR(E324="CASH",E324="DAY CHEQUE",E324="POST DATED CHQ"),I324&lt;&gt;TRUE),AND(OR(E324="CASH",E324="DAY CHEQUE",E324="POST DATED CHQ"),K324&lt;&gt;TRUE),AND(E324="POST DATED CHQ",ISBLANK(M324)),P324=TRUE,Q324=TRUE,AND(R324=TRUE,OR(ISBLANK(S324),ISBLANK(T324))),AND(E324="ONLINE",V324&lt;&gt;TRUE),AND(I324=TRUE,U324&lt;&gt;TRUE)),TRUE,FALSE)</x:f>
      </x:c>
      <x:c r="X324" s="22" t="n"/>
    </x:row>
    <x:row r="325">
      <x:c r="A325" s="22" t="n"/>
      <x:c r="B325" s="22" t="n"/>
      <x:c r="C325" s="22" t="n"/>
      <x:c r="D325" s="22" t="n"/>
      <x:c r="E325" s="22" t="n"/>
      <x:c r="F325" s="23" t="n"/>
      <x:c r="G325" s="23" t="n"/>
      <x:c r="H325" s="24">
        <x:f>IF(OR(ISBLANK(F325),ISBLANK(G325)),"",G325-F325)</x:f>
      </x:c>
      <x:c r="I325" s="25" t="n"/>
      <x:c r="J325" s="25" t="n"/>
      <x:c r="K325" s="25" t="n"/>
      <x:c r="L325" s="22" t="n"/>
      <x:c r="M325" s="22" t="n"/>
      <x:c r="N325" s="22" t="n"/>
      <x:c r="O325" s="22" t="n"/>
      <x:c r="P325" s="25" t="n"/>
      <x:c r="Q325" s="25" t="n"/>
      <x:c r="R325" s="25" t="n"/>
      <x:c r="S325" s="22" t="n"/>
      <x:c r="T325" s="23" t="n"/>
      <x:c r="U325" s="25" t="n"/>
      <x:c r="V325" s="25" t="n"/>
      <x:c r="W325" s="25">
        <x:f>IF(OR(AND(OR(O325="DELIVERED",O325="PARTIAL"),J325&lt;&gt;TRUE),AND(OR(E325="CASH",E325="DAY CHEQUE",E325="POST DATED CHQ"),I325&lt;&gt;TRUE),AND(OR(E325="CASH",E325="DAY CHEQUE",E325="POST DATED CHQ"),K325&lt;&gt;TRUE),AND(E325="POST DATED CHQ",ISBLANK(M325)),P325=TRUE,Q325=TRUE,AND(R325=TRUE,OR(ISBLANK(S325),ISBLANK(T325))),AND(E325="ONLINE",V325&lt;&gt;TRUE),AND(I325=TRUE,U325&lt;&gt;TRUE)),TRUE,FALSE)</x:f>
      </x:c>
      <x:c r="X325" s="22" t="n"/>
    </x:row>
    <x:row r="326">
      <x:c r="A326" s="22" t="n"/>
      <x:c r="B326" s="22" t="n"/>
      <x:c r="C326" s="22" t="n"/>
      <x:c r="D326" s="22" t="n"/>
      <x:c r="E326" s="22" t="n"/>
      <x:c r="F326" s="23" t="n"/>
      <x:c r="G326" s="23" t="n"/>
      <x:c r="H326" s="24">
        <x:f>IF(OR(ISBLANK(F326),ISBLANK(G326)),"",G326-F326)</x:f>
      </x:c>
      <x:c r="I326" s="25" t="n"/>
      <x:c r="J326" s="25" t="n"/>
      <x:c r="K326" s="25" t="n"/>
      <x:c r="L326" s="22" t="n"/>
      <x:c r="M326" s="22" t="n"/>
      <x:c r="N326" s="22" t="n"/>
      <x:c r="O326" s="22" t="n"/>
      <x:c r="P326" s="25" t="n"/>
      <x:c r="Q326" s="25" t="n"/>
      <x:c r="R326" s="25" t="n"/>
      <x:c r="S326" s="22" t="n"/>
      <x:c r="T326" s="23" t="n"/>
      <x:c r="U326" s="25" t="n"/>
      <x:c r="V326" s="25" t="n"/>
      <x:c r="W326" s="25">
        <x:f>IF(OR(AND(OR(O326="DELIVERED",O326="PARTIAL"),J326&lt;&gt;TRUE),AND(OR(E326="CASH",E326="DAY CHEQUE",E326="POST DATED CHQ"),I326&lt;&gt;TRUE),AND(OR(E326="CASH",E326="DAY CHEQUE",E326="POST DATED CHQ"),K326&lt;&gt;TRUE),AND(E326="POST DATED CHQ",ISBLANK(M326)),P326=TRUE,Q326=TRUE,AND(R326=TRUE,OR(ISBLANK(S326),ISBLANK(T326))),AND(E326="ONLINE",V326&lt;&gt;TRUE),AND(I326=TRUE,U326&lt;&gt;TRUE)),TRUE,FALSE)</x:f>
      </x:c>
      <x:c r="X326" s="22" t="n"/>
    </x:row>
    <x:row r="327">
      <x:c r="A327" s="22" t="n"/>
      <x:c r="B327" s="22" t="n"/>
      <x:c r="C327" s="22" t="n"/>
      <x:c r="D327" s="22" t="n"/>
      <x:c r="E327" s="22" t="n"/>
      <x:c r="F327" s="23" t="n"/>
      <x:c r="G327" s="23" t="n"/>
      <x:c r="H327" s="24">
        <x:f>IF(OR(ISBLANK(F327),ISBLANK(G327)),"",G327-F327)</x:f>
      </x:c>
      <x:c r="I327" s="25" t="n"/>
      <x:c r="J327" s="25" t="n"/>
      <x:c r="K327" s="25" t="n"/>
      <x:c r="L327" s="22" t="n"/>
      <x:c r="M327" s="22" t="n"/>
      <x:c r="N327" s="22" t="n"/>
      <x:c r="O327" s="22" t="n"/>
      <x:c r="P327" s="25" t="n"/>
      <x:c r="Q327" s="25" t="n"/>
      <x:c r="R327" s="25" t="n"/>
      <x:c r="S327" s="22" t="n"/>
      <x:c r="T327" s="23" t="n"/>
      <x:c r="U327" s="25" t="n"/>
      <x:c r="V327" s="25" t="n"/>
      <x:c r="W327" s="25">
        <x:f>IF(OR(AND(OR(O327="DELIVERED",O327="PARTIAL"),J327&lt;&gt;TRUE),AND(OR(E327="CASH",E327="DAY CHEQUE",E327="POST DATED CHQ"),I327&lt;&gt;TRUE),AND(OR(E327="CASH",E327="DAY CHEQUE",E327="POST DATED CHQ"),K327&lt;&gt;TRUE),AND(E327="POST DATED CHQ",ISBLANK(M327)),P327=TRUE,Q327=TRUE,AND(R327=TRUE,OR(ISBLANK(S327),ISBLANK(T327))),AND(E327="ONLINE",V327&lt;&gt;TRUE),AND(I327=TRUE,U327&lt;&gt;TRUE)),TRUE,FALSE)</x:f>
      </x:c>
      <x:c r="X327" s="22" t="n"/>
    </x:row>
    <x:row r="328">
      <x:c r="A328" s="22" t="n"/>
      <x:c r="B328" s="22" t="n"/>
      <x:c r="C328" s="22" t="n"/>
      <x:c r="D328" s="22" t="n"/>
      <x:c r="E328" s="22" t="n"/>
      <x:c r="F328" s="23" t="n"/>
      <x:c r="G328" s="23" t="n"/>
      <x:c r="H328" s="24">
        <x:f>IF(OR(ISBLANK(F328),ISBLANK(G328)),"",G328-F328)</x:f>
      </x:c>
      <x:c r="I328" s="25" t="n"/>
      <x:c r="J328" s="25" t="n"/>
      <x:c r="K328" s="25" t="n"/>
      <x:c r="L328" s="22" t="n"/>
      <x:c r="M328" s="22" t="n"/>
      <x:c r="N328" s="22" t="n"/>
      <x:c r="O328" s="22" t="n"/>
      <x:c r="P328" s="25" t="n"/>
      <x:c r="Q328" s="25" t="n"/>
      <x:c r="R328" s="25" t="n"/>
      <x:c r="S328" s="22" t="n"/>
      <x:c r="T328" s="23" t="n"/>
      <x:c r="U328" s="25" t="n"/>
      <x:c r="V328" s="25" t="n"/>
      <x:c r="W328" s="25">
        <x:f>IF(OR(AND(OR(O328="DELIVERED",O328="PARTIAL"),J328&lt;&gt;TRUE),AND(OR(E328="CASH",E328="DAY CHEQUE",E328="POST DATED CHQ"),I328&lt;&gt;TRUE),AND(OR(E328="CASH",E328="DAY CHEQUE",E328="POST DATED CHQ"),K328&lt;&gt;TRUE),AND(E328="POST DATED CHQ",ISBLANK(M328)),P328=TRUE,Q328=TRUE,AND(R328=TRUE,OR(ISBLANK(S328),ISBLANK(T328))),AND(E328="ONLINE",V328&lt;&gt;TRUE),AND(I328=TRUE,U328&lt;&gt;TRUE)),TRUE,FALSE)</x:f>
      </x:c>
      <x:c r="X328" s="22" t="n"/>
    </x:row>
    <x:row r="329">
      <x:c r="A329" s="22" t="n"/>
      <x:c r="B329" s="22" t="n"/>
      <x:c r="C329" s="22" t="n"/>
      <x:c r="D329" s="22" t="n"/>
      <x:c r="E329" s="22" t="n"/>
      <x:c r="F329" s="23" t="n"/>
      <x:c r="G329" s="23" t="n"/>
      <x:c r="H329" s="24">
        <x:f>IF(OR(ISBLANK(F329),ISBLANK(G329)),"",G329-F329)</x:f>
      </x:c>
      <x:c r="I329" s="25" t="n"/>
      <x:c r="J329" s="25" t="n"/>
      <x:c r="K329" s="25" t="n"/>
      <x:c r="L329" s="22" t="n"/>
      <x:c r="M329" s="22" t="n"/>
      <x:c r="N329" s="22" t="n"/>
      <x:c r="O329" s="22" t="n"/>
      <x:c r="P329" s="25" t="n"/>
      <x:c r="Q329" s="25" t="n"/>
      <x:c r="R329" s="25" t="n"/>
      <x:c r="S329" s="22" t="n"/>
      <x:c r="T329" s="23" t="n"/>
      <x:c r="U329" s="25" t="n"/>
      <x:c r="V329" s="25" t="n"/>
      <x:c r="W329" s="25">
        <x:f>IF(OR(AND(OR(O329="DELIVERED",O329="PARTIAL"),J329&lt;&gt;TRUE),AND(OR(E329="CASH",E329="DAY CHEQUE",E329="POST DATED CHQ"),I329&lt;&gt;TRUE),AND(OR(E329="CASH",E329="DAY CHEQUE",E329="POST DATED CHQ"),K329&lt;&gt;TRUE),AND(E329="POST DATED CHQ",ISBLANK(M329)),P329=TRUE,Q329=TRUE,AND(R329=TRUE,OR(ISBLANK(S329),ISBLANK(T329))),AND(E329="ONLINE",V329&lt;&gt;TRUE),AND(I329=TRUE,U329&lt;&gt;TRUE)),TRUE,FALSE)</x:f>
      </x:c>
      <x:c r="X329" s="22" t="n"/>
    </x:row>
    <x:row r="330">
      <x:c r="A330" s="22" t="n"/>
      <x:c r="B330" s="22" t="n"/>
      <x:c r="C330" s="22" t="n"/>
      <x:c r="D330" s="22" t="n"/>
      <x:c r="E330" s="22" t="n"/>
      <x:c r="F330" s="23" t="n"/>
      <x:c r="G330" s="23" t="n"/>
      <x:c r="H330" s="24">
        <x:f>IF(OR(ISBLANK(F330),ISBLANK(G330)),"",G330-F330)</x:f>
      </x:c>
      <x:c r="I330" s="25" t="n"/>
      <x:c r="J330" s="25" t="n"/>
      <x:c r="K330" s="25" t="n"/>
      <x:c r="L330" s="22" t="n"/>
      <x:c r="M330" s="22" t="n"/>
      <x:c r="N330" s="22" t="n"/>
      <x:c r="O330" s="22" t="n"/>
      <x:c r="P330" s="25" t="n"/>
      <x:c r="Q330" s="25" t="n"/>
      <x:c r="R330" s="25" t="n"/>
      <x:c r="S330" s="22" t="n"/>
      <x:c r="T330" s="23" t="n"/>
      <x:c r="U330" s="25" t="n"/>
      <x:c r="V330" s="25" t="n"/>
      <x:c r="W330" s="25">
        <x:f>IF(OR(AND(OR(O330="DELIVERED",O330="PARTIAL"),J330&lt;&gt;TRUE),AND(OR(E330="CASH",E330="DAY CHEQUE",E330="POST DATED CHQ"),I330&lt;&gt;TRUE),AND(OR(E330="CASH",E330="DAY CHEQUE",E330="POST DATED CHQ"),K330&lt;&gt;TRUE),AND(E330="POST DATED CHQ",ISBLANK(M330)),P330=TRUE,Q330=TRUE,AND(R330=TRUE,OR(ISBLANK(S330),ISBLANK(T330))),AND(E330="ONLINE",V330&lt;&gt;TRUE),AND(I330=TRUE,U330&lt;&gt;TRUE)),TRUE,FALSE)</x:f>
      </x:c>
      <x:c r="X330" s="22" t="n"/>
    </x:row>
    <x:row r="331">
      <x:c r="A331" s="22" t="n"/>
      <x:c r="B331" s="22" t="n"/>
      <x:c r="C331" s="22" t="n"/>
      <x:c r="D331" s="22" t="n"/>
      <x:c r="E331" s="22" t="n"/>
      <x:c r="F331" s="23" t="n"/>
      <x:c r="G331" s="23" t="n"/>
      <x:c r="H331" s="24">
        <x:f>IF(OR(ISBLANK(F331),ISBLANK(G331)),"",G331-F331)</x:f>
      </x:c>
      <x:c r="I331" s="25" t="n"/>
      <x:c r="J331" s="25" t="n"/>
      <x:c r="K331" s="25" t="n"/>
      <x:c r="L331" s="22" t="n"/>
      <x:c r="M331" s="22" t="n"/>
      <x:c r="N331" s="22" t="n"/>
      <x:c r="O331" s="22" t="n"/>
      <x:c r="P331" s="25" t="n"/>
      <x:c r="Q331" s="25" t="n"/>
      <x:c r="R331" s="25" t="n"/>
      <x:c r="S331" s="22" t="n"/>
      <x:c r="T331" s="23" t="n"/>
      <x:c r="U331" s="25" t="n"/>
      <x:c r="V331" s="25" t="n"/>
      <x:c r="W331" s="25">
        <x:f>IF(OR(AND(OR(O331="DELIVERED",O331="PARTIAL"),J331&lt;&gt;TRUE),AND(OR(E331="CASH",E331="DAY CHEQUE",E331="POST DATED CHQ"),I331&lt;&gt;TRUE),AND(OR(E331="CASH",E331="DAY CHEQUE",E331="POST DATED CHQ"),K331&lt;&gt;TRUE),AND(E331="POST DATED CHQ",ISBLANK(M331)),P331=TRUE,Q331=TRUE,AND(R331=TRUE,OR(ISBLANK(S331),ISBLANK(T331))),AND(E331="ONLINE",V331&lt;&gt;TRUE),AND(I331=TRUE,U331&lt;&gt;TRUE)),TRUE,FALSE)</x:f>
      </x:c>
      <x:c r="X331" s="22" t="n"/>
    </x:row>
    <x:row r="332">
      <x:c r="A332" s="22" t="n"/>
      <x:c r="B332" s="22" t="n"/>
      <x:c r="C332" s="22" t="n"/>
      <x:c r="D332" s="22" t="n"/>
      <x:c r="E332" s="22" t="n"/>
      <x:c r="F332" s="23" t="n"/>
      <x:c r="G332" s="23" t="n"/>
      <x:c r="H332" s="24">
        <x:f>IF(OR(ISBLANK(F332),ISBLANK(G332)),"",G332-F332)</x:f>
      </x:c>
      <x:c r="I332" s="25" t="n"/>
      <x:c r="J332" s="25" t="n"/>
      <x:c r="K332" s="25" t="n"/>
      <x:c r="L332" s="22" t="n"/>
      <x:c r="M332" s="22" t="n"/>
      <x:c r="N332" s="22" t="n"/>
      <x:c r="O332" s="22" t="n"/>
      <x:c r="P332" s="25" t="n"/>
      <x:c r="Q332" s="25" t="n"/>
      <x:c r="R332" s="25" t="n"/>
      <x:c r="S332" s="22" t="n"/>
      <x:c r="T332" s="23" t="n"/>
      <x:c r="U332" s="25" t="n"/>
      <x:c r="V332" s="25" t="n"/>
      <x:c r="W332" s="25">
        <x:f>IF(OR(AND(OR(O332="DELIVERED",O332="PARTIAL"),J332&lt;&gt;TRUE),AND(OR(E332="CASH",E332="DAY CHEQUE",E332="POST DATED CHQ"),I332&lt;&gt;TRUE),AND(OR(E332="CASH",E332="DAY CHEQUE",E332="POST DATED CHQ"),K332&lt;&gt;TRUE),AND(E332="POST DATED CHQ",ISBLANK(M332)),P332=TRUE,Q332=TRUE,AND(R332=TRUE,OR(ISBLANK(S332),ISBLANK(T332))),AND(E332="ONLINE",V332&lt;&gt;TRUE),AND(I332=TRUE,U332&lt;&gt;TRUE)),TRUE,FALSE)</x:f>
      </x:c>
      <x:c r="X332" s="22" t="n"/>
    </x:row>
    <x:row r="333">
      <x:c r="A333" s="22" t="n"/>
      <x:c r="B333" s="22" t="n"/>
      <x:c r="C333" s="22" t="n"/>
      <x:c r="D333" s="22" t="n"/>
      <x:c r="E333" s="22" t="n"/>
      <x:c r="F333" s="23" t="n"/>
      <x:c r="G333" s="23" t="n"/>
      <x:c r="H333" s="24">
        <x:f>IF(OR(ISBLANK(F333),ISBLANK(G333)),"",G333-F333)</x:f>
      </x:c>
      <x:c r="I333" s="25" t="n"/>
      <x:c r="J333" s="25" t="n"/>
      <x:c r="K333" s="25" t="n"/>
      <x:c r="L333" s="22" t="n"/>
      <x:c r="M333" s="22" t="n"/>
      <x:c r="N333" s="22" t="n"/>
      <x:c r="O333" s="22" t="n"/>
      <x:c r="P333" s="25" t="n"/>
      <x:c r="Q333" s="25" t="n"/>
      <x:c r="R333" s="25" t="n"/>
      <x:c r="S333" s="22" t="n"/>
      <x:c r="T333" s="23" t="n"/>
      <x:c r="U333" s="25" t="n"/>
      <x:c r="V333" s="25" t="n"/>
      <x:c r="W333" s="25">
        <x:f>IF(OR(AND(OR(O333="DELIVERED",O333="PARTIAL"),J333&lt;&gt;TRUE),AND(OR(E333="CASH",E333="DAY CHEQUE",E333="POST DATED CHQ"),I333&lt;&gt;TRUE),AND(OR(E333="CASH",E333="DAY CHEQUE",E333="POST DATED CHQ"),K333&lt;&gt;TRUE),AND(E333="POST DATED CHQ",ISBLANK(M333)),P333=TRUE,Q333=TRUE,AND(R333=TRUE,OR(ISBLANK(S333),ISBLANK(T333))),AND(E333="ONLINE",V333&lt;&gt;TRUE),AND(I333=TRUE,U333&lt;&gt;TRUE)),TRUE,FALSE)</x:f>
      </x:c>
      <x:c r="X333" s="22" t="n"/>
    </x:row>
    <x:row r="334">
      <x:c r="A334" s="22" t="n"/>
      <x:c r="B334" s="22" t="n"/>
      <x:c r="C334" s="22" t="n"/>
      <x:c r="D334" s="22" t="n"/>
      <x:c r="E334" s="22" t="n"/>
      <x:c r="F334" s="23" t="n"/>
      <x:c r="G334" s="23" t="n"/>
      <x:c r="H334" s="24">
        <x:f>IF(OR(ISBLANK(F334),ISBLANK(G334)),"",G334-F334)</x:f>
      </x:c>
      <x:c r="I334" s="25" t="n"/>
      <x:c r="J334" s="25" t="n"/>
      <x:c r="K334" s="25" t="n"/>
      <x:c r="L334" s="22" t="n"/>
      <x:c r="M334" s="22" t="n"/>
      <x:c r="N334" s="22" t="n"/>
      <x:c r="O334" s="22" t="n"/>
      <x:c r="P334" s="25" t="n"/>
      <x:c r="Q334" s="25" t="n"/>
      <x:c r="R334" s="25" t="n"/>
      <x:c r="S334" s="22" t="n"/>
      <x:c r="T334" s="23" t="n"/>
      <x:c r="U334" s="25" t="n"/>
      <x:c r="V334" s="25" t="n"/>
      <x:c r="W334" s="25">
        <x:f>IF(OR(AND(OR(O334="DELIVERED",O334="PARTIAL"),J334&lt;&gt;TRUE),AND(OR(E334="CASH",E334="DAY CHEQUE",E334="POST DATED CHQ"),I334&lt;&gt;TRUE),AND(OR(E334="CASH",E334="DAY CHEQUE",E334="POST DATED CHQ"),K334&lt;&gt;TRUE),AND(E334="POST DATED CHQ",ISBLANK(M334)),P334=TRUE,Q334=TRUE,AND(R334=TRUE,OR(ISBLANK(S334),ISBLANK(T334))),AND(E334="ONLINE",V334&lt;&gt;TRUE),AND(I334=TRUE,U334&lt;&gt;TRUE)),TRUE,FALSE)</x:f>
      </x:c>
      <x:c r="X334" s="22" t="n"/>
    </x:row>
    <x:row r="335">
      <x:c r="A335" s="22" t="n"/>
      <x:c r="B335" s="22" t="n"/>
      <x:c r="C335" s="22" t="n"/>
      <x:c r="D335" s="22" t="n"/>
      <x:c r="E335" s="22" t="n"/>
      <x:c r="F335" s="23" t="n"/>
      <x:c r="G335" s="23" t="n"/>
      <x:c r="H335" s="24">
        <x:f>IF(OR(ISBLANK(F335),ISBLANK(G335)),"",G335-F335)</x:f>
      </x:c>
      <x:c r="I335" s="25" t="n"/>
      <x:c r="J335" s="25" t="n"/>
      <x:c r="K335" s="25" t="n"/>
      <x:c r="L335" s="22" t="n"/>
      <x:c r="M335" s="22" t="n"/>
      <x:c r="N335" s="22" t="n"/>
      <x:c r="O335" s="22" t="n"/>
      <x:c r="P335" s="25" t="n"/>
      <x:c r="Q335" s="25" t="n"/>
      <x:c r="R335" s="25" t="n"/>
      <x:c r="S335" s="22" t="n"/>
      <x:c r="T335" s="23" t="n"/>
      <x:c r="U335" s="25" t="n"/>
      <x:c r="V335" s="25" t="n"/>
      <x:c r="W335" s="25">
        <x:f>IF(OR(AND(OR(O335="DELIVERED",O335="PARTIAL"),J335&lt;&gt;TRUE),AND(OR(E335="CASH",E335="DAY CHEQUE",E335="POST DATED CHQ"),I335&lt;&gt;TRUE),AND(OR(E335="CASH",E335="DAY CHEQUE",E335="POST DATED CHQ"),K335&lt;&gt;TRUE),AND(E335="POST DATED CHQ",ISBLANK(M335)),P335=TRUE,Q335=TRUE,AND(R335=TRUE,OR(ISBLANK(S335),ISBLANK(T335))),AND(E335="ONLINE",V335&lt;&gt;TRUE),AND(I335=TRUE,U335&lt;&gt;TRUE)),TRUE,FALSE)</x:f>
      </x:c>
      <x:c r="X335" s="22" t="n"/>
    </x:row>
    <x:row r="336">
      <x:c r="A336" s="22" t="n"/>
      <x:c r="B336" s="22" t="n"/>
      <x:c r="C336" s="22" t="n"/>
      <x:c r="D336" s="22" t="n"/>
      <x:c r="E336" s="22" t="n"/>
      <x:c r="F336" s="23" t="n"/>
      <x:c r="G336" s="23" t="n"/>
      <x:c r="H336" s="24">
        <x:f>IF(OR(ISBLANK(F336),ISBLANK(G336)),"",G336-F336)</x:f>
      </x:c>
      <x:c r="I336" s="25" t="n"/>
      <x:c r="J336" s="25" t="n"/>
      <x:c r="K336" s="25" t="n"/>
      <x:c r="L336" s="22" t="n"/>
      <x:c r="M336" s="22" t="n"/>
      <x:c r="N336" s="22" t="n"/>
      <x:c r="O336" s="22" t="n"/>
      <x:c r="P336" s="25" t="n"/>
      <x:c r="Q336" s="25" t="n"/>
      <x:c r="R336" s="25" t="n"/>
      <x:c r="S336" s="22" t="n"/>
      <x:c r="T336" s="23" t="n"/>
      <x:c r="U336" s="25" t="n"/>
      <x:c r="V336" s="25" t="n"/>
      <x:c r="W336" s="25">
        <x:f>IF(OR(AND(OR(O336="DELIVERED",O336="PARTIAL"),J336&lt;&gt;TRUE),AND(OR(E336="CASH",E336="DAY CHEQUE",E336="POST DATED CHQ"),I336&lt;&gt;TRUE),AND(OR(E336="CASH",E336="DAY CHEQUE",E336="POST DATED CHQ"),K336&lt;&gt;TRUE),AND(E336="POST DATED CHQ",ISBLANK(M336)),P336=TRUE,Q336=TRUE,AND(R336=TRUE,OR(ISBLANK(S336),ISBLANK(T336))),AND(E336="ONLINE",V336&lt;&gt;TRUE),AND(I336=TRUE,U336&lt;&gt;TRUE)),TRUE,FALSE)</x:f>
      </x:c>
      <x:c r="X336" s="22" t="n"/>
    </x:row>
    <x:row r="337">
      <x:c r="A337" s="22" t="n"/>
      <x:c r="B337" s="22" t="n"/>
      <x:c r="C337" s="22" t="n"/>
      <x:c r="D337" s="22" t="n"/>
      <x:c r="E337" s="22" t="n"/>
      <x:c r="F337" s="23" t="n"/>
      <x:c r="G337" s="23" t="n"/>
      <x:c r="H337" s="24">
        <x:f>IF(OR(ISBLANK(F337),ISBLANK(G337)),"",G337-F337)</x:f>
      </x:c>
      <x:c r="I337" s="25" t="n"/>
      <x:c r="J337" s="25" t="n"/>
      <x:c r="K337" s="25" t="n"/>
      <x:c r="L337" s="22" t="n"/>
      <x:c r="M337" s="22" t="n"/>
      <x:c r="N337" s="22" t="n"/>
      <x:c r="O337" s="22" t="n"/>
      <x:c r="P337" s="25" t="n"/>
      <x:c r="Q337" s="25" t="n"/>
      <x:c r="R337" s="25" t="n"/>
      <x:c r="S337" s="22" t="n"/>
      <x:c r="T337" s="23" t="n"/>
      <x:c r="U337" s="25" t="n"/>
      <x:c r="V337" s="25" t="n"/>
      <x:c r="W337" s="25">
        <x:f>IF(OR(AND(OR(O337="DELIVERED",O337="PARTIAL"),J337&lt;&gt;TRUE),AND(OR(E337="CASH",E337="DAY CHEQUE",E337="POST DATED CHQ"),I337&lt;&gt;TRUE),AND(OR(E337="CASH",E337="DAY CHEQUE",E337="POST DATED CHQ"),K337&lt;&gt;TRUE),AND(E337="POST DATED CHQ",ISBLANK(M337)),P337=TRUE,Q337=TRUE,AND(R337=TRUE,OR(ISBLANK(S337),ISBLANK(T337))),AND(E337="ONLINE",V337&lt;&gt;TRUE),AND(I337=TRUE,U337&lt;&gt;TRUE)),TRUE,FALSE)</x:f>
      </x:c>
      <x:c r="X337" s="22" t="n"/>
    </x:row>
    <x:row r="338">
      <x:c r="A338" s="22" t="n"/>
      <x:c r="B338" s="22" t="n"/>
      <x:c r="C338" s="22" t="n"/>
      <x:c r="D338" s="22" t="n"/>
      <x:c r="E338" s="22" t="n"/>
      <x:c r="F338" s="23" t="n"/>
      <x:c r="G338" s="23" t="n"/>
      <x:c r="H338" s="24">
        <x:f>IF(OR(ISBLANK(F338),ISBLANK(G338)),"",G338-F338)</x:f>
      </x:c>
      <x:c r="I338" s="25" t="n"/>
      <x:c r="J338" s="25" t="n"/>
      <x:c r="K338" s="25" t="n"/>
      <x:c r="L338" s="22" t="n"/>
      <x:c r="M338" s="22" t="n"/>
      <x:c r="N338" s="22" t="n"/>
      <x:c r="O338" s="22" t="n"/>
      <x:c r="P338" s="25" t="n"/>
      <x:c r="Q338" s="25" t="n"/>
      <x:c r="R338" s="25" t="n"/>
      <x:c r="S338" s="22" t="n"/>
      <x:c r="T338" s="23" t="n"/>
      <x:c r="U338" s="25" t="n"/>
      <x:c r="V338" s="25" t="n"/>
      <x:c r="W338" s="25">
        <x:f>IF(OR(AND(OR(O338="DELIVERED",O338="PARTIAL"),J338&lt;&gt;TRUE),AND(OR(E338="CASH",E338="DAY CHEQUE",E338="POST DATED CHQ"),I338&lt;&gt;TRUE),AND(OR(E338="CASH",E338="DAY CHEQUE",E338="POST DATED CHQ"),K338&lt;&gt;TRUE),AND(E338="POST DATED CHQ",ISBLANK(M338)),P338=TRUE,Q338=TRUE,AND(R338=TRUE,OR(ISBLANK(S338),ISBLANK(T338))),AND(E338="ONLINE",V338&lt;&gt;TRUE),AND(I338=TRUE,U338&lt;&gt;TRUE)),TRUE,FALSE)</x:f>
      </x:c>
      <x:c r="X338" s="22" t="n"/>
    </x:row>
    <x:row r="339">
      <x:c r="A339" s="22" t="n"/>
      <x:c r="B339" s="22" t="n"/>
      <x:c r="C339" s="22" t="n"/>
      <x:c r="D339" s="22" t="n"/>
      <x:c r="E339" s="22" t="n"/>
      <x:c r="F339" s="23" t="n"/>
      <x:c r="G339" s="23" t="n"/>
      <x:c r="H339" s="24">
        <x:f>IF(OR(ISBLANK(F339),ISBLANK(G339)),"",G339-F339)</x:f>
      </x:c>
      <x:c r="I339" s="25" t="n"/>
      <x:c r="J339" s="25" t="n"/>
      <x:c r="K339" s="25" t="n"/>
      <x:c r="L339" s="22" t="n"/>
      <x:c r="M339" s="22" t="n"/>
      <x:c r="N339" s="22" t="n"/>
      <x:c r="O339" s="22" t="n"/>
      <x:c r="P339" s="25" t="n"/>
      <x:c r="Q339" s="25" t="n"/>
      <x:c r="R339" s="25" t="n"/>
      <x:c r="S339" s="22" t="n"/>
      <x:c r="T339" s="23" t="n"/>
      <x:c r="U339" s="25" t="n"/>
      <x:c r="V339" s="25" t="n"/>
      <x:c r="W339" s="25">
        <x:f>IF(OR(AND(OR(O339="DELIVERED",O339="PARTIAL"),J339&lt;&gt;TRUE),AND(OR(E339="CASH",E339="DAY CHEQUE",E339="POST DATED CHQ"),I339&lt;&gt;TRUE),AND(OR(E339="CASH",E339="DAY CHEQUE",E339="POST DATED CHQ"),K339&lt;&gt;TRUE),AND(E339="POST DATED CHQ",ISBLANK(M339)),P339=TRUE,Q339=TRUE,AND(R339=TRUE,OR(ISBLANK(S339),ISBLANK(T339))),AND(E339="ONLINE",V339&lt;&gt;TRUE),AND(I339=TRUE,U339&lt;&gt;TRUE)),TRUE,FALSE)</x:f>
      </x:c>
      <x:c r="X339" s="22" t="n"/>
    </x:row>
    <x:row r="340">
      <x:c r="A340" s="22" t="n"/>
      <x:c r="B340" s="22" t="n"/>
      <x:c r="C340" s="22" t="n"/>
      <x:c r="D340" s="22" t="n"/>
      <x:c r="E340" s="22" t="n"/>
      <x:c r="F340" s="23" t="n"/>
      <x:c r="G340" s="23" t="n"/>
      <x:c r="H340" s="24">
        <x:f>IF(OR(ISBLANK(F340),ISBLANK(G340)),"",G340-F340)</x:f>
      </x:c>
      <x:c r="I340" s="25" t="n"/>
      <x:c r="J340" s="25" t="n"/>
      <x:c r="K340" s="25" t="n"/>
      <x:c r="L340" s="22" t="n"/>
      <x:c r="M340" s="22" t="n"/>
      <x:c r="N340" s="22" t="n"/>
      <x:c r="O340" s="22" t="n"/>
      <x:c r="P340" s="25" t="n"/>
      <x:c r="Q340" s="25" t="n"/>
      <x:c r="R340" s="25" t="n"/>
      <x:c r="S340" s="22" t="n"/>
      <x:c r="T340" s="23" t="n"/>
      <x:c r="U340" s="25" t="n"/>
      <x:c r="V340" s="25" t="n"/>
      <x:c r="W340" s="25">
        <x:f>IF(OR(AND(OR(O340="DELIVERED",O340="PARTIAL"),J340&lt;&gt;TRUE),AND(OR(E340="CASH",E340="DAY CHEQUE",E340="POST DATED CHQ"),I340&lt;&gt;TRUE),AND(OR(E340="CASH",E340="DAY CHEQUE",E340="POST DATED CHQ"),K340&lt;&gt;TRUE),AND(E340="POST DATED CHQ",ISBLANK(M340)),P340=TRUE,Q340=TRUE,AND(R340=TRUE,OR(ISBLANK(S340),ISBLANK(T340))),AND(E340="ONLINE",V340&lt;&gt;TRUE),AND(I340=TRUE,U340&lt;&gt;TRUE)),TRUE,FALSE)</x:f>
      </x:c>
      <x:c r="X340" s="22" t="n"/>
    </x:row>
    <x:row r="341">
      <x:c r="A341" s="22" t="n"/>
      <x:c r="B341" s="22" t="n"/>
      <x:c r="C341" s="22" t="n"/>
      <x:c r="D341" s="22" t="n"/>
      <x:c r="E341" s="22" t="n"/>
      <x:c r="F341" s="23" t="n"/>
      <x:c r="G341" s="23" t="n"/>
      <x:c r="H341" s="24">
        <x:f>IF(OR(ISBLANK(F341),ISBLANK(G341)),"",G341-F341)</x:f>
      </x:c>
      <x:c r="I341" s="25" t="n"/>
      <x:c r="J341" s="25" t="n"/>
      <x:c r="K341" s="25" t="n"/>
      <x:c r="L341" s="22" t="n"/>
      <x:c r="M341" s="22" t="n"/>
      <x:c r="N341" s="22" t="n"/>
      <x:c r="O341" s="22" t="n"/>
      <x:c r="P341" s="25" t="n"/>
      <x:c r="Q341" s="25" t="n"/>
      <x:c r="R341" s="25" t="n"/>
      <x:c r="S341" s="22" t="n"/>
      <x:c r="T341" s="23" t="n"/>
      <x:c r="U341" s="25" t="n"/>
      <x:c r="V341" s="25" t="n"/>
      <x:c r="W341" s="25">
        <x:f>IF(OR(AND(OR(O341="DELIVERED",O341="PARTIAL"),J341&lt;&gt;TRUE),AND(OR(E341="CASH",E341="DAY CHEQUE",E341="POST DATED CHQ"),I341&lt;&gt;TRUE),AND(OR(E341="CASH",E341="DAY CHEQUE",E341="POST DATED CHQ"),K341&lt;&gt;TRUE),AND(E341="POST DATED CHQ",ISBLANK(M341)),P341=TRUE,Q341=TRUE,AND(R341=TRUE,OR(ISBLANK(S341),ISBLANK(T341))),AND(E341="ONLINE",V341&lt;&gt;TRUE),AND(I341=TRUE,U341&lt;&gt;TRUE)),TRUE,FALSE)</x:f>
      </x:c>
      <x:c r="X341" s="22" t="n"/>
    </x:row>
    <x:row r="342">
      <x:c r="A342" s="22" t="n"/>
      <x:c r="B342" s="22" t="n"/>
      <x:c r="C342" s="22" t="n"/>
      <x:c r="D342" s="22" t="n"/>
      <x:c r="E342" s="22" t="n"/>
      <x:c r="F342" s="23" t="n"/>
      <x:c r="G342" s="23" t="n"/>
      <x:c r="H342" s="24">
        <x:f>IF(OR(ISBLANK(F342),ISBLANK(G342)),"",G342-F342)</x:f>
      </x:c>
      <x:c r="I342" s="25" t="n"/>
      <x:c r="J342" s="25" t="n"/>
      <x:c r="K342" s="25" t="n"/>
      <x:c r="L342" s="22" t="n"/>
      <x:c r="M342" s="22" t="n"/>
      <x:c r="N342" s="22" t="n"/>
      <x:c r="O342" s="22" t="n"/>
      <x:c r="P342" s="25" t="n"/>
      <x:c r="Q342" s="25" t="n"/>
      <x:c r="R342" s="25" t="n"/>
      <x:c r="S342" s="22" t="n"/>
      <x:c r="T342" s="23" t="n"/>
      <x:c r="U342" s="25" t="n"/>
      <x:c r="V342" s="25" t="n"/>
      <x:c r="W342" s="25">
        <x:f>IF(OR(AND(OR(O342="DELIVERED",O342="PARTIAL"),J342&lt;&gt;TRUE),AND(OR(E342="CASH",E342="DAY CHEQUE",E342="POST DATED CHQ"),I342&lt;&gt;TRUE),AND(OR(E342="CASH",E342="DAY CHEQUE",E342="POST DATED CHQ"),K342&lt;&gt;TRUE),AND(E342="POST DATED CHQ",ISBLANK(M342)),P342=TRUE,Q342=TRUE,AND(R342=TRUE,OR(ISBLANK(S342),ISBLANK(T342))),AND(E342="ONLINE",V342&lt;&gt;TRUE),AND(I342=TRUE,U342&lt;&gt;TRUE)),TRUE,FALSE)</x:f>
      </x:c>
      <x:c r="X342" s="22" t="n"/>
    </x:row>
    <x:row r="343">
      <x:c r="A343" s="22" t="n"/>
      <x:c r="B343" s="22" t="n"/>
      <x:c r="C343" s="22" t="n"/>
      <x:c r="D343" s="22" t="n"/>
      <x:c r="E343" s="22" t="n"/>
      <x:c r="F343" s="23" t="n"/>
      <x:c r="G343" s="23" t="n"/>
      <x:c r="H343" s="24">
        <x:f>IF(OR(ISBLANK(F343),ISBLANK(G343)),"",G343-F343)</x:f>
      </x:c>
      <x:c r="I343" s="25" t="n"/>
      <x:c r="J343" s="25" t="n"/>
      <x:c r="K343" s="25" t="n"/>
      <x:c r="L343" s="22" t="n"/>
      <x:c r="M343" s="22" t="n"/>
      <x:c r="N343" s="22" t="n"/>
      <x:c r="O343" s="22" t="n"/>
      <x:c r="P343" s="25" t="n"/>
      <x:c r="Q343" s="25" t="n"/>
      <x:c r="R343" s="25" t="n"/>
      <x:c r="S343" s="22" t="n"/>
      <x:c r="T343" s="23" t="n"/>
      <x:c r="U343" s="25" t="n"/>
      <x:c r="V343" s="25" t="n"/>
      <x:c r="W343" s="25">
        <x:f>IF(OR(AND(OR(O343="DELIVERED",O343="PARTIAL"),J343&lt;&gt;TRUE),AND(OR(E343="CASH",E343="DAY CHEQUE",E343="POST DATED CHQ"),I343&lt;&gt;TRUE),AND(OR(E343="CASH",E343="DAY CHEQUE",E343="POST DATED CHQ"),K343&lt;&gt;TRUE),AND(E343="POST DATED CHQ",ISBLANK(M343)),P343=TRUE,Q343=TRUE,AND(R343=TRUE,OR(ISBLANK(S343),ISBLANK(T343))),AND(E343="ONLINE",V343&lt;&gt;TRUE),AND(I343=TRUE,U343&lt;&gt;TRUE)),TRUE,FALSE)</x:f>
      </x:c>
      <x:c r="X343" s="22" t="n"/>
    </x:row>
    <x:row r="344">
      <x:c r="A344" s="22" t="n"/>
      <x:c r="B344" s="22" t="n"/>
      <x:c r="C344" s="22" t="n"/>
      <x:c r="D344" s="22" t="n"/>
      <x:c r="E344" s="22" t="n"/>
      <x:c r="F344" s="23" t="n"/>
      <x:c r="G344" s="23" t="n"/>
      <x:c r="H344" s="24">
        <x:f>IF(OR(ISBLANK(F344),ISBLANK(G344)),"",G344-F344)</x:f>
      </x:c>
      <x:c r="I344" s="25" t="n"/>
      <x:c r="J344" s="25" t="n"/>
      <x:c r="K344" s="25" t="n"/>
      <x:c r="L344" s="22" t="n"/>
      <x:c r="M344" s="22" t="n"/>
      <x:c r="N344" s="22" t="n"/>
      <x:c r="O344" s="22" t="n"/>
      <x:c r="P344" s="25" t="n"/>
      <x:c r="Q344" s="25" t="n"/>
      <x:c r="R344" s="25" t="n"/>
      <x:c r="S344" s="22" t="n"/>
      <x:c r="T344" s="23" t="n"/>
      <x:c r="U344" s="25" t="n"/>
      <x:c r="V344" s="25" t="n"/>
      <x:c r="W344" s="25">
        <x:f>IF(OR(AND(OR(O344="DELIVERED",O344="PARTIAL"),J344&lt;&gt;TRUE),AND(OR(E344="CASH",E344="DAY CHEQUE",E344="POST DATED CHQ"),I344&lt;&gt;TRUE),AND(OR(E344="CASH",E344="DAY CHEQUE",E344="POST DATED CHQ"),K344&lt;&gt;TRUE),AND(E344="POST DATED CHQ",ISBLANK(M344)),P344=TRUE,Q344=TRUE,AND(R344=TRUE,OR(ISBLANK(S344),ISBLANK(T344))),AND(E344="ONLINE",V344&lt;&gt;TRUE),AND(I344=TRUE,U344&lt;&gt;TRUE)),TRUE,FALSE)</x:f>
      </x:c>
      <x:c r="X344" s="22" t="n"/>
    </x:row>
    <x:row r="345">
      <x:c r="A345" s="22" t="n"/>
      <x:c r="B345" s="22" t="n"/>
      <x:c r="C345" s="22" t="n"/>
      <x:c r="D345" s="22" t="n"/>
      <x:c r="E345" s="22" t="n"/>
      <x:c r="F345" s="23" t="n"/>
      <x:c r="G345" s="23" t="n"/>
      <x:c r="H345" s="24">
        <x:f>IF(OR(ISBLANK(F345),ISBLANK(G345)),"",G345-F345)</x:f>
      </x:c>
      <x:c r="I345" s="25" t="n"/>
      <x:c r="J345" s="25" t="n"/>
      <x:c r="K345" s="25" t="n"/>
      <x:c r="L345" s="22" t="n"/>
      <x:c r="M345" s="22" t="n"/>
      <x:c r="N345" s="22" t="n"/>
      <x:c r="O345" s="22" t="n"/>
      <x:c r="P345" s="25" t="n"/>
      <x:c r="Q345" s="25" t="n"/>
      <x:c r="R345" s="25" t="n"/>
      <x:c r="S345" s="22" t="n"/>
      <x:c r="T345" s="23" t="n"/>
      <x:c r="U345" s="25" t="n"/>
      <x:c r="V345" s="25" t="n"/>
      <x:c r="W345" s="25">
        <x:f>IF(OR(AND(OR(O345="DELIVERED",O345="PARTIAL"),J345&lt;&gt;TRUE),AND(OR(E345="CASH",E345="DAY CHEQUE",E345="POST DATED CHQ"),I345&lt;&gt;TRUE),AND(OR(E345="CASH",E345="DAY CHEQUE",E345="POST DATED CHQ"),K345&lt;&gt;TRUE),AND(E345="POST DATED CHQ",ISBLANK(M345)),P345=TRUE,Q345=TRUE,AND(R345=TRUE,OR(ISBLANK(S345),ISBLANK(T345))),AND(E345="ONLINE",V345&lt;&gt;TRUE),AND(I345=TRUE,U345&lt;&gt;TRUE)),TRUE,FALSE)</x:f>
      </x:c>
      <x:c r="X345" s="22" t="n"/>
    </x:row>
    <x:row r="346">
      <x:c r="A346" s="22" t="n"/>
      <x:c r="B346" s="22" t="n"/>
      <x:c r="C346" s="22" t="n"/>
      <x:c r="D346" s="22" t="n"/>
      <x:c r="E346" s="22" t="n"/>
      <x:c r="F346" s="23" t="n"/>
      <x:c r="G346" s="23" t="n"/>
      <x:c r="H346" s="24">
        <x:f>IF(OR(ISBLANK(F346),ISBLANK(G346)),"",G346-F346)</x:f>
      </x:c>
      <x:c r="I346" s="25" t="n"/>
      <x:c r="J346" s="25" t="n"/>
      <x:c r="K346" s="25" t="n"/>
      <x:c r="L346" s="22" t="n"/>
      <x:c r="M346" s="22" t="n"/>
      <x:c r="N346" s="22" t="n"/>
      <x:c r="O346" s="22" t="n"/>
      <x:c r="P346" s="25" t="n"/>
      <x:c r="Q346" s="25" t="n"/>
      <x:c r="R346" s="25" t="n"/>
      <x:c r="S346" s="22" t="n"/>
      <x:c r="T346" s="23" t="n"/>
      <x:c r="U346" s="25" t="n"/>
      <x:c r="V346" s="25" t="n"/>
      <x:c r="W346" s="25">
        <x:f>IF(OR(AND(OR(O346="DELIVERED",O346="PARTIAL"),J346&lt;&gt;TRUE),AND(OR(E346="CASH",E346="DAY CHEQUE",E346="POST DATED CHQ"),I346&lt;&gt;TRUE),AND(OR(E346="CASH",E346="DAY CHEQUE",E346="POST DATED CHQ"),K346&lt;&gt;TRUE),AND(E346="POST DATED CHQ",ISBLANK(M346)),P346=TRUE,Q346=TRUE,AND(R346=TRUE,OR(ISBLANK(S346),ISBLANK(T346))),AND(E346="ONLINE",V346&lt;&gt;TRUE),AND(I346=TRUE,U346&lt;&gt;TRUE)),TRUE,FALSE)</x:f>
      </x:c>
      <x:c r="X346" s="22" t="n"/>
    </x:row>
    <x:row r="347">
      <x:c r="A347" s="22" t="n"/>
      <x:c r="B347" s="22" t="n"/>
      <x:c r="C347" s="22" t="n"/>
      <x:c r="D347" s="22" t="n"/>
      <x:c r="E347" s="22" t="n"/>
      <x:c r="F347" s="23" t="n"/>
      <x:c r="G347" s="23" t="n"/>
      <x:c r="H347" s="24">
        <x:f>IF(OR(ISBLANK(F347),ISBLANK(G347)),"",G347-F347)</x:f>
      </x:c>
      <x:c r="I347" s="25" t="n"/>
      <x:c r="J347" s="25" t="n"/>
      <x:c r="K347" s="25" t="n"/>
      <x:c r="L347" s="22" t="n"/>
      <x:c r="M347" s="22" t="n"/>
      <x:c r="N347" s="22" t="n"/>
      <x:c r="O347" s="22" t="n"/>
      <x:c r="P347" s="25" t="n"/>
      <x:c r="Q347" s="25" t="n"/>
      <x:c r="R347" s="25" t="n"/>
      <x:c r="S347" s="22" t="n"/>
      <x:c r="T347" s="23" t="n"/>
      <x:c r="U347" s="25" t="n"/>
      <x:c r="V347" s="25" t="n"/>
      <x:c r="W347" s="25">
        <x:f>IF(OR(AND(OR(O347="DELIVERED",O347="PARTIAL"),J347&lt;&gt;TRUE),AND(OR(E347="CASH",E347="DAY CHEQUE",E347="POST DATED CHQ"),I347&lt;&gt;TRUE),AND(OR(E347="CASH",E347="DAY CHEQUE",E347="POST DATED CHQ"),K347&lt;&gt;TRUE),AND(E347="POST DATED CHQ",ISBLANK(M347)),P347=TRUE,Q347=TRUE,AND(R347=TRUE,OR(ISBLANK(S347),ISBLANK(T347))),AND(E347="ONLINE",V347&lt;&gt;TRUE),AND(I347=TRUE,U347&lt;&gt;TRUE)),TRUE,FALSE)</x:f>
      </x:c>
      <x:c r="X347" s="22" t="n"/>
    </x:row>
    <x:row r="348">
      <x:c r="A348" s="22" t="n"/>
      <x:c r="B348" s="22" t="n"/>
      <x:c r="C348" s="22" t="n"/>
      <x:c r="D348" s="22" t="n"/>
      <x:c r="E348" s="22" t="n"/>
      <x:c r="F348" s="23" t="n"/>
      <x:c r="G348" s="23" t="n"/>
      <x:c r="H348" s="24">
        <x:f>IF(OR(ISBLANK(F348),ISBLANK(G348)),"",G348-F348)</x:f>
      </x:c>
      <x:c r="I348" s="25" t="n"/>
      <x:c r="J348" s="25" t="n"/>
      <x:c r="K348" s="25" t="n"/>
      <x:c r="L348" s="22" t="n"/>
      <x:c r="M348" s="22" t="n"/>
      <x:c r="N348" s="22" t="n"/>
      <x:c r="O348" s="22" t="n"/>
      <x:c r="P348" s="25" t="n"/>
      <x:c r="Q348" s="25" t="n"/>
      <x:c r="R348" s="25" t="n"/>
      <x:c r="S348" s="22" t="n"/>
      <x:c r="T348" s="23" t="n"/>
      <x:c r="U348" s="25" t="n"/>
      <x:c r="V348" s="25" t="n"/>
      <x:c r="W348" s="25">
        <x:f>IF(OR(AND(OR(O348="DELIVERED",O348="PARTIAL"),J348&lt;&gt;TRUE),AND(OR(E348="CASH",E348="DAY CHEQUE",E348="POST DATED CHQ"),I348&lt;&gt;TRUE),AND(OR(E348="CASH",E348="DAY CHEQUE",E348="POST DATED CHQ"),K348&lt;&gt;TRUE),AND(E348="POST DATED CHQ",ISBLANK(M348)),P348=TRUE,Q348=TRUE,AND(R348=TRUE,OR(ISBLANK(S348),ISBLANK(T348))),AND(E348="ONLINE",V348&lt;&gt;TRUE),AND(I348=TRUE,U348&lt;&gt;TRUE)),TRUE,FALSE)</x:f>
      </x:c>
      <x:c r="X348" s="22" t="n"/>
    </x:row>
    <x:row r="349">
      <x:c r="A349" s="22" t="n"/>
      <x:c r="B349" s="22" t="n"/>
      <x:c r="C349" s="22" t="n"/>
      <x:c r="D349" s="22" t="n"/>
      <x:c r="E349" s="22" t="n"/>
      <x:c r="F349" s="23" t="n"/>
      <x:c r="G349" s="23" t="n"/>
      <x:c r="H349" s="24">
        <x:f>IF(OR(ISBLANK(F349),ISBLANK(G349)),"",G349-F349)</x:f>
      </x:c>
      <x:c r="I349" s="25" t="n"/>
      <x:c r="J349" s="25" t="n"/>
      <x:c r="K349" s="25" t="n"/>
      <x:c r="L349" s="22" t="n"/>
      <x:c r="M349" s="22" t="n"/>
      <x:c r="N349" s="22" t="n"/>
      <x:c r="O349" s="22" t="n"/>
      <x:c r="P349" s="25" t="n"/>
      <x:c r="Q349" s="25" t="n"/>
      <x:c r="R349" s="25" t="n"/>
      <x:c r="S349" s="22" t="n"/>
      <x:c r="T349" s="23" t="n"/>
      <x:c r="U349" s="25" t="n"/>
      <x:c r="V349" s="25" t="n"/>
      <x:c r="W349" s="25">
        <x:f>IF(OR(AND(OR(O349="DELIVERED",O349="PARTIAL"),J349&lt;&gt;TRUE),AND(OR(E349="CASH",E349="DAY CHEQUE",E349="POST DATED CHQ"),I349&lt;&gt;TRUE),AND(OR(E349="CASH",E349="DAY CHEQUE",E349="POST DATED CHQ"),K349&lt;&gt;TRUE),AND(E349="POST DATED CHQ",ISBLANK(M349)),P349=TRUE,Q349=TRUE,AND(R349=TRUE,OR(ISBLANK(S349),ISBLANK(T349))),AND(E349="ONLINE",V349&lt;&gt;TRUE),AND(I349=TRUE,U349&lt;&gt;TRUE)),TRUE,FALSE)</x:f>
      </x:c>
      <x:c r="X349" s="22" t="n"/>
    </x:row>
    <x:row r="350">
      <x:c r="A350" s="22" t="n"/>
      <x:c r="B350" s="22" t="n"/>
      <x:c r="C350" s="22" t="n"/>
      <x:c r="D350" s="22" t="n"/>
      <x:c r="E350" s="22" t="n"/>
      <x:c r="F350" s="23" t="n"/>
      <x:c r="G350" s="23" t="n"/>
      <x:c r="H350" s="24">
        <x:f>IF(OR(ISBLANK(F350),ISBLANK(G350)),"",G350-F350)</x:f>
      </x:c>
      <x:c r="I350" s="25" t="n"/>
      <x:c r="J350" s="25" t="n"/>
      <x:c r="K350" s="25" t="n"/>
      <x:c r="L350" s="22" t="n"/>
      <x:c r="M350" s="22" t="n"/>
      <x:c r="N350" s="22" t="n"/>
      <x:c r="O350" s="22" t="n"/>
      <x:c r="P350" s="25" t="n"/>
      <x:c r="Q350" s="25" t="n"/>
      <x:c r="R350" s="25" t="n"/>
      <x:c r="S350" s="22" t="n"/>
      <x:c r="T350" s="23" t="n"/>
      <x:c r="U350" s="25" t="n"/>
      <x:c r="V350" s="25" t="n"/>
      <x:c r="W350" s="25">
        <x:f>IF(OR(AND(OR(O350="DELIVERED",O350="PARTIAL"),J350&lt;&gt;TRUE),AND(OR(E350="CASH",E350="DAY CHEQUE",E350="POST DATED CHQ"),I350&lt;&gt;TRUE),AND(OR(E350="CASH",E350="DAY CHEQUE",E350="POST DATED CHQ"),K350&lt;&gt;TRUE),AND(E350="POST DATED CHQ",ISBLANK(M350)),P350=TRUE,Q350=TRUE,AND(R350=TRUE,OR(ISBLANK(S350),ISBLANK(T350))),AND(E350="ONLINE",V350&lt;&gt;TRUE),AND(I350=TRUE,U350&lt;&gt;TRUE)),TRUE,FALSE)</x:f>
      </x:c>
      <x:c r="X350" s="22" t="n"/>
    </x:row>
    <x:row r="351">
      <x:c r="A351" s="22" t="n"/>
      <x:c r="B351" s="22" t="n"/>
      <x:c r="C351" s="22" t="n"/>
      <x:c r="D351" s="22" t="n"/>
      <x:c r="E351" s="22" t="n"/>
      <x:c r="F351" s="23" t="n"/>
      <x:c r="G351" s="23" t="n"/>
      <x:c r="H351" s="24">
        <x:f>IF(OR(ISBLANK(F351),ISBLANK(G351)),"",G351-F351)</x:f>
      </x:c>
      <x:c r="I351" s="25" t="n"/>
      <x:c r="J351" s="25" t="n"/>
      <x:c r="K351" s="25" t="n"/>
      <x:c r="L351" s="22" t="n"/>
      <x:c r="M351" s="22" t="n"/>
      <x:c r="N351" s="22" t="n"/>
      <x:c r="O351" s="22" t="n"/>
      <x:c r="P351" s="25" t="n"/>
      <x:c r="Q351" s="25" t="n"/>
      <x:c r="R351" s="25" t="n"/>
      <x:c r="S351" s="22" t="n"/>
      <x:c r="T351" s="23" t="n"/>
      <x:c r="U351" s="25" t="n"/>
      <x:c r="V351" s="25" t="n"/>
      <x:c r="W351" s="25">
        <x:f>IF(OR(AND(OR(O351="DELIVERED",O351="PARTIAL"),J351&lt;&gt;TRUE),AND(OR(E351="CASH",E351="DAY CHEQUE",E351="POST DATED CHQ"),I351&lt;&gt;TRUE),AND(OR(E351="CASH",E351="DAY CHEQUE",E351="POST DATED CHQ"),K351&lt;&gt;TRUE),AND(E351="POST DATED CHQ",ISBLANK(M351)),P351=TRUE,Q351=TRUE,AND(R351=TRUE,OR(ISBLANK(S351),ISBLANK(T351))),AND(E351="ONLINE",V351&lt;&gt;TRUE),AND(I351=TRUE,U351&lt;&gt;TRUE)),TRUE,FALSE)</x:f>
      </x:c>
      <x:c r="X351" s="22" t="n"/>
    </x:row>
    <x:row r="352">
      <x:c r="A352" s="22" t="n"/>
      <x:c r="B352" s="22" t="n"/>
      <x:c r="C352" s="22" t="n"/>
      <x:c r="D352" s="22" t="n"/>
      <x:c r="E352" s="22" t="n"/>
      <x:c r="F352" s="23" t="n"/>
      <x:c r="G352" s="23" t="n"/>
      <x:c r="H352" s="24">
        <x:f>IF(OR(ISBLANK(F352),ISBLANK(G352)),"",G352-F352)</x:f>
      </x:c>
      <x:c r="I352" s="25" t="n"/>
      <x:c r="J352" s="25" t="n"/>
      <x:c r="K352" s="25" t="n"/>
      <x:c r="L352" s="22" t="n"/>
      <x:c r="M352" s="22" t="n"/>
      <x:c r="N352" s="22" t="n"/>
      <x:c r="O352" s="22" t="n"/>
      <x:c r="P352" s="25" t="n"/>
      <x:c r="Q352" s="25" t="n"/>
      <x:c r="R352" s="25" t="n"/>
      <x:c r="S352" s="22" t="n"/>
      <x:c r="T352" s="23" t="n"/>
      <x:c r="U352" s="25" t="n"/>
      <x:c r="V352" s="25" t="n"/>
      <x:c r="W352" s="25">
        <x:f>IF(OR(AND(OR(O352="DELIVERED",O352="PARTIAL"),J352&lt;&gt;TRUE),AND(OR(E352="CASH",E352="DAY CHEQUE",E352="POST DATED CHQ"),I352&lt;&gt;TRUE),AND(OR(E352="CASH",E352="DAY CHEQUE",E352="POST DATED CHQ"),K352&lt;&gt;TRUE),AND(E352="POST DATED CHQ",ISBLANK(M352)),P352=TRUE,Q352=TRUE,AND(R352=TRUE,OR(ISBLANK(S352),ISBLANK(T352))),AND(E352="ONLINE",V352&lt;&gt;TRUE),AND(I352=TRUE,U352&lt;&gt;TRUE)),TRUE,FALSE)</x:f>
      </x:c>
      <x:c r="X352" s="22" t="n"/>
    </x:row>
    <x:row r="353">
      <x:c r="A353" s="22" t="n"/>
      <x:c r="B353" s="22" t="n"/>
      <x:c r="C353" s="22" t="n"/>
      <x:c r="D353" s="22" t="n"/>
      <x:c r="E353" s="22" t="n"/>
      <x:c r="F353" s="23" t="n"/>
      <x:c r="G353" s="23" t="n"/>
      <x:c r="H353" s="24">
        <x:f>IF(OR(ISBLANK(F353),ISBLANK(G353)),"",G353-F353)</x:f>
      </x:c>
      <x:c r="I353" s="25" t="n"/>
      <x:c r="J353" s="25" t="n"/>
      <x:c r="K353" s="25" t="n"/>
      <x:c r="L353" s="22" t="n"/>
      <x:c r="M353" s="22" t="n"/>
      <x:c r="N353" s="22" t="n"/>
      <x:c r="O353" s="22" t="n"/>
      <x:c r="P353" s="25" t="n"/>
      <x:c r="Q353" s="25" t="n"/>
      <x:c r="R353" s="25" t="n"/>
      <x:c r="S353" s="22" t="n"/>
      <x:c r="T353" s="23" t="n"/>
      <x:c r="U353" s="25" t="n"/>
      <x:c r="V353" s="25" t="n"/>
      <x:c r="W353" s="25">
        <x:f>IF(OR(AND(OR(O353="DELIVERED",O353="PARTIAL"),J353&lt;&gt;TRUE),AND(OR(E353="CASH",E353="DAY CHEQUE",E353="POST DATED CHQ"),I353&lt;&gt;TRUE),AND(OR(E353="CASH",E353="DAY CHEQUE",E353="POST DATED CHQ"),K353&lt;&gt;TRUE),AND(E353="POST DATED CHQ",ISBLANK(M353)),P353=TRUE,Q353=TRUE,AND(R353=TRUE,OR(ISBLANK(S353),ISBLANK(T353))),AND(E353="ONLINE",V353&lt;&gt;TRUE),AND(I353=TRUE,U353&lt;&gt;TRUE)),TRUE,FALSE)</x:f>
      </x:c>
      <x:c r="X353" s="22" t="n"/>
    </x:row>
    <x:row r="354">
      <x:c r="A354" s="22" t="n"/>
      <x:c r="B354" s="22" t="n"/>
      <x:c r="C354" s="22" t="n"/>
      <x:c r="D354" s="22" t="n"/>
      <x:c r="E354" s="22" t="n"/>
      <x:c r="F354" s="23" t="n"/>
      <x:c r="G354" s="23" t="n"/>
      <x:c r="H354" s="24">
        <x:f>IF(OR(ISBLANK(F354),ISBLANK(G354)),"",G354-F354)</x:f>
      </x:c>
      <x:c r="I354" s="25" t="n"/>
      <x:c r="J354" s="25" t="n"/>
      <x:c r="K354" s="25" t="n"/>
      <x:c r="L354" s="22" t="n"/>
      <x:c r="M354" s="22" t="n"/>
      <x:c r="N354" s="22" t="n"/>
      <x:c r="O354" s="22" t="n"/>
      <x:c r="P354" s="25" t="n"/>
      <x:c r="Q354" s="25" t="n"/>
      <x:c r="R354" s="25" t="n"/>
      <x:c r="S354" s="22" t="n"/>
      <x:c r="T354" s="23" t="n"/>
      <x:c r="U354" s="25" t="n"/>
      <x:c r="V354" s="25" t="n"/>
      <x:c r="W354" s="25">
        <x:f>IF(OR(AND(OR(O354="DELIVERED",O354="PARTIAL"),J354&lt;&gt;TRUE),AND(OR(E354="CASH",E354="DAY CHEQUE",E354="POST DATED CHQ"),I354&lt;&gt;TRUE),AND(OR(E354="CASH",E354="DAY CHEQUE",E354="POST DATED CHQ"),K354&lt;&gt;TRUE),AND(E354="POST DATED CHQ",ISBLANK(M354)),P354=TRUE,Q354=TRUE,AND(R354=TRUE,OR(ISBLANK(S354),ISBLANK(T354))),AND(E354="ONLINE",V354&lt;&gt;TRUE),AND(I354=TRUE,U354&lt;&gt;TRUE)),TRUE,FALSE)</x:f>
      </x:c>
      <x:c r="X354" s="22" t="n"/>
    </x:row>
    <x:row r="355">
      <x:c r="A355" s="22" t="n"/>
      <x:c r="B355" s="22" t="n"/>
      <x:c r="C355" s="22" t="n"/>
      <x:c r="D355" s="22" t="n"/>
      <x:c r="E355" s="22" t="n"/>
      <x:c r="F355" s="23" t="n"/>
      <x:c r="G355" s="23" t="n"/>
      <x:c r="H355" s="24">
        <x:f>IF(OR(ISBLANK(F355),ISBLANK(G355)),"",G355-F355)</x:f>
      </x:c>
      <x:c r="I355" s="25" t="n"/>
      <x:c r="J355" s="25" t="n"/>
      <x:c r="K355" s="25" t="n"/>
      <x:c r="L355" s="22" t="n"/>
      <x:c r="M355" s="22" t="n"/>
      <x:c r="N355" s="22" t="n"/>
      <x:c r="O355" s="22" t="n"/>
      <x:c r="P355" s="25" t="n"/>
      <x:c r="Q355" s="25" t="n"/>
      <x:c r="R355" s="25" t="n"/>
      <x:c r="S355" s="22" t="n"/>
      <x:c r="T355" s="23" t="n"/>
      <x:c r="U355" s="25" t="n"/>
      <x:c r="V355" s="25" t="n"/>
      <x:c r="W355" s="25">
        <x:f>IF(OR(AND(OR(O355="DELIVERED",O355="PARTIAL"),J355&lt;&gt;TRUE),AND(OR(E355="CASH",E355="DAY CHEQUE",E355="POST DATED CHQ"),I355&lt;&gt;TRUE),AND(OR(E355="CASH",E355="DAY CHEQUE",E355="POST DATED CHQ"),K355&lt;&gt;TRUE),AND(E355="POST DATED CHQ",ISBLANK(M355)),P355=TRUE,Q355=TRUE,AND(R355=TRUE,OR(ISBLANK(S355),ISBLANK(T355))),AND(E355="ONLINE",V355&lt;&gt;TRUE),AND(I355=TRUE,U355&lt;&gt;TRUE)),TRUE,FALSE)</x:f>
      </x:c>
      <x:c r="X355" s="22" t="n"/>
    </x:row>
    <x:row r="356">
      <x:c r="A356" s="22" t="n"/>
      <x:c r="B356" s="22" t="n"/>
      <x:c r="C356" s="22" t="n"/>
      <x:c r="D356" s="22" t="n"/>
      <x:c r="E356" s="22" t="n"/>
      <x:c r="F356" s="23" t="n"/>
      <x:c r="G356" s="23" t="n"/>
      <x:c r="H356" s="24">
        <x:f>IF(OR(ISBLANK(F356),ISBLANK(G356)),"",G356-F356)</x:f>
      </x:c>
      <x:c r="I356" s="25" t="n"/>
      <x:c r="J356" s="25" t="n"/>
      <x:c r="K356" s="25" t="n"/>
      <x:c r="L356" s="22" t="n"/>
      <x:c r="M356" s="22" t="n"/>
      <x:c r="N356" s="22" t="n"/>
      <x:c r="O356" s="22" t="n"/>
      <x:c r="P356" s="25" t="n"/>
      <x:c r="Q356" s="25" t="n"/>
      <x:c r="R356" s="25" t="n"/>
      <x:c r="S356" s="22" t="n"/>
      <x:c r="T356" s="23" t="n"/>
      <x:c r="U356" s="25" t="n"/>
      <x:c r="V356" s="25" t="n"/>
      <x:c r="W356" s="25">
        <x:f>IF(OR(AND(OR(O356="DELIVERED",O356="PARTIAL"),J356&lt;&gt;TRUE),AND(OR(E356="CASH",E356="DAY CHEQUE",E356="POST DATED CHQ"),I356&lt;&gt;TRUE),AND(OR(E356="CASH",E356="DAY CHEQUE",E356="POST DATED CHQ"),K356&lt;&gt;TRUE),AND(E356="POST DATED CHQ",ISBLANK(M356)),P356=TRUE,Q356=TRUE,AND(R356=TRUE,OR(ISBLANK(S356),ISBLANK(T356))),AND(E356="ONLINE",V356&lt;&gt;TRUE),AND(I356=TRUE,U356&lt;&gt;TRUE)),TRUE,FALSE)</x:f>
      </x:c>
      <x:c r="X356" s="22" t="n"/>
    </x:row>
    <x:row r="357">
      <x:c r="A357" s="22" t="n"/>
      <x:c r="B357" s="22" t="n"/>
      <x:c r="C357" s="22" t="n"/>
      <x:c r="D357" s="22" t="n"/>
      <x:c r="E357" s="22" t="n"/>
      <x:c r="F357" s="23" t="n"/>
      <x:c r="G357" s="23" t="n"/>
      <x:c r="H357" s="24">
        <x:f>IF(OR(ISBLANK(F357),ISBLANK(G357)),"",G357-F357)</x:f>
      </x:c>
      <x:c r="I357" s="25" t="n"/>
      <x:c r="J357" s="25" t="n"/>
      <x:c r="K357" s="25" t="n"/>
      <x:c r="L357" s="22" t="n"/>
      <x:c r="M357" s="22" t="n"/>
      <x:c r="N357" s="22" t="n"/>
      <x:c r="O357" s="22" t="n"/>
      <x:c r="P357" s="25" t="n"/>
      <x:c r="Q357" s="25" t="n"/>
      <x:c r="R357" s="25" t="n"/>
      <x:c r="S357" s="22" t="n"/>
      <x:c r="T357" s="23" t="n"/>
      <x:c r="U357" s="25" t="n"/>
      <x:c r="V357" s="25" t="n"/>
      <x:c r="W357" s="25">
        <x:f>IF(OR(AND(OR(O357="DELIVERED",O357="PARTIAL"),J357&lt;&gt;TRUE),AND(OR(E357="CASH",E357="DAY CHEQUE",E357="POST DATED CHQ"),I357&lt;&gt;TRUE),AND(OR(E357="CASH",E357="DAY CHEQUE",E357="POST DATED CHQ"),K357&lt;&gt;TRUE),AND(E357="POST DATED CHQ",ISBLANK(M357)),P357=TRUE,Q357=TRUE,AND(R357=TRUE,OR(ISBLANK(S357),ISBLANK(T357))),AND(E357="ONLINE",V357&lt;&gt;TRUE),AND(I357=TRUE,U357&lt;&gt;TRUE)),TRUE,FALSE)</x:f>
      </x:c>
      <x:c r="X357" s="22" t="n"/>
    </x:row>
    <x:row r="358">
      <x:c r="A358" s="22" t="n"/>
      <x:c r="B358" s="22" t="n"/>
      <x:c r="C358" s="22" t="n"/>
      <x:c r="D358" s="22" t="n"/>
      <x:c r="E358" s="22" t="n"/>
      <x:c r="F358" s="23" t="n"/>
      <x:c r="G358" s="23" t="n"/>
      <x:c r="H358" s="24">
        <x:f>IF(OR(ISBLANK(F358),ISBLANK(G358)),"",G358-F358)</x:f>
      </x:c>
      <x:c r="I358" s="25" t="n"/>
      <x:c r="J358" s="25" t="n"/>
      <x:c r="K358" s="25" t="n"/>
      <x:c r="L358" s="22" t="n"/>
      <x:c r="M358" s="22" t="n"/>
      <x:c r="N358" s="22" t="n"/>
      <x:c r="O358" s="22" t="n"/>
      <x:c r="P358" s="25" t="n"/>
      <x:c r="Q358" s="25" t="n"/>
      <x:c r="R358" s="25" t="n"/>
      <x:c r="S358" s="22" t="n"/>
      <x:c r="T358" s="23" t="n"/>
      <x:c r="U358" s="25" t="n"/>
      <x:c r="V358" s="25" t="n"/>
      <x:c r="W358" s="25">
        <x:f>IF(OR(AND(OR(O358="DELIVERED",O358="PARTIAL"),J358&lt;&gt;TRUE),AND(OR(E358="CASH",E358="DAY CHEQUE",E358="POST DATED CHQ"),I358&lt;&gt;TRUE),AND(OR(E358="CASH",E358="DAY CHEQUE",E358="POST DATED CHQ"),K358&lt;&gt;TRUE),AND(E358="POST DATED CHQ",ISBLANK(M358)),P358=TRUE,Q358=TRUE,AND(R358=TRUE,OR(ISBLANK(S358),ISBLANK(T358))),AND(E358="ONLINE",V358&lt;&gt;TRUE),AND(I358=TRUE,U358&lt;&gt;TRUE)),TRUE,FALSE)</x:f>
      </x:c>
      <x:c r="X358" s="22" t="n"/>
    </x:row>
    <x:row r="359">
      <x:c r="A359" s="22" t="n"/>
      <x:c r="B359" s="22" t="n"/>
      <x:c r="C359" s="22" t="n"/>
      <x:c r="D359" s="22" t="n"/>
      <x:c r="E359" s="22" t="n"/>
      <x:c r="F359" s="23" t="n"/>
      <x:c r="G359" s="23" t="n"/>
      <x:c r="H359" s="24">
        <x:f>IF(OR(ISBLANK(F359),ISBLANK(G359)),"",G359-F359)</x:f>
      </x:c>
      <x:c r="I359" s="25" t="n"/>
      <x:c r="J359" s="25" t="n"/>
      <x:c r="K359" s="25" t="n"/>
      <x:c r="L359" s="22" t="n"/>
      <x:c r="M359" s="22" t="n"/>
      <x:c r="N359" s="22" t="n"/>
      <x:c r="O359" s="22" t="n"/>
      <x:c r="P359" s="25" t="n"/>
      <x:c r="Q359" s="25" t="n"/>
      <x:c r="R359" s="25" t="n"/>
      <x:c r="S359" s="22" t="n"/>
      <x:c r="T359" s="23" t="n"/>
      <x:c r="U359" s="25" t="n"/>
      <x:c r="V359" s="25" t="n"/>
      <x:c r="W359" s="25">
        <x:f>IF(OR(AND(OR(O359="DELIVERED",O359="PARTIAL"),J359&lt;&gt;TRUE),AND(OR(E359="CASH",E359="DAY CHEQUE",E359="POST DATED CHQ"),I359&lt;&gt;TRUE),AND(OR(E359="CASH",E359="DAY CHEQUE",E359="POST DATED CHQ"),K359&lt;&gt;TRUE),AND(E359="POST DATED CHQ",ISBLANK(M359)),P359=TRUE,Q359=TRUE,AND(R359=TRUE,OR(ISBLANK(S359),ISBLANK(T359))),AND(E359="ONLINE",V359&lt;&gt;TRUE),AND(I359=TRUE,U359&lt;&gt;TRUE)),TRUE,FALSE)</x:f>
      </x:c>
      <x:c r="X359" s="22" t="n"/>
    </x:row>
    <x:row r="360">
      <x:c r="A360" s="22" t="n"/>
      <x:c r="B360" s="22" t="n"/>
      <x:c r="C360" s="22" t="n"/>
      <x:c r="D360" s="22" t="n"/>
      <x:c r="E360" s="22" t="n"/>
      <x:c r="F360" s="23" t="n"/>
      <x:c r="G360" s="23" t="n"/>
      <x:c r="H360" s="24">
        <x:f>IF(OR(ISBLANK(F360),ISBLANK(G360)),"",G360-F360)</x:f>
      </x:c>
      <x:c r="I360" s="25" t="n"/>
      <x:c r="J360" s="25" t="n"/>
      <x:c r="K360" s="25" t="n"/>
      <x:c r="L360" s="22" t="n"/>
      <x:c r="M360" s="22" t="n"/>
      <x:c r="N360" s="22" t="n"/>
      <x:c r="O360" s="22" t="n"/>
      <x:c r="P360" s="25" t="n"/>
      <x:c r="Q360" s="25" t="n"/>
      <x:c r="R360" s="25" t="n"/>
      <x:c r="S360" s="22" t="n"/>
      <x:c r="T360" s="23" t="n"/>
      <x:c r="U360" s="25" t="n"/>
      <x:c r="V360" s="25" t="n"/>
      <x:c r="W360" s="25">
        <x:f>IF(OR(AND(OR(O360="DELIVERED",O360="PARTIAL"),J360&lt;&gt;TRUE),AND(OR(E360="CASH",E360="DAY CHEQUE",E360="POST DATED CHQ"),I360&lt;&gt;TRUE),AND(OR(E360="CASH",E360="DAY CHEQUE",E360="POST DATED CHQ"),K360&lt;&gt;TRUE),AND(E360="POST DATED CHQ",ISBLANK(M360)),P360=TRUE,Q360=TRUE,AND(R360=TRUE,OR(ISBLANK(S360),ISBLANK(T360))),AND(E360="ONLINE",V360&lt;&gt;TRUE),AND(I360=TRUE,U360&lt;&gt;TRUE)),TRUE,FALSE)</x:f>
      </x:c>
      <x:c r="X360" s="22" t="n"/>
    </x:row>
    <x:row r="361">
      <x:c r="A361" s="22" t="n"/>
      <x:c r="B361" s="22" t="n"/>
      <x:c r="C361" s="22" t="n"/>
      <x:c r="D361" s="22" t="n"/>
      <x:c r="E361" s="22" t="n"/>
      <x:c r="F361" s="23" t="n"/>
      <x:c r="G361" s="23" t="n"/>
      <x:c r="H361" s="24">
        <x:f>IF(OR(ISBLANK(F361),ISBLANK(G361)),"",G361-F361)</x:f>
      </x:c>
      <x:c r="I361" s="25" t="n"/>
      <x:c r="J361" s="25" t="n"/>
      <x:c r="K361" s="25" t="n"/>
      <x:c r="L361" s="22" t="n"/>
      <x:c r="M361" s="22" t="n"/>
      <x:c r="N361" s="22" t="n"/>
      <x:c r="O361" s="22" t="n"/>
      <x:c r="P361" s="25" t="n"/>
      <x:c r="Q361" s="25" t="n"/>
      <x:c r="R361" s="25" t="n"/>
      <x:c r="S361" s="22" t="n"/>
      <x:c r="T361" s="23" t="n"/>
      <x:c r="U361" s="25" t="n"/>
      <x:c r="V361" s="25" t="n"/>
      <x:c r="W361" s="25">
        <x:f>IF(OR(AND(OR(O361="DELIVERED",O361="PARTIAL"),J361&lt;&gt;TRUE),AND(OR(E361="CASH",E361="DAY CHEQUE",E361="POST DATED CHQ"),I361&lt;&gt;TRUE),AND(OR(E361="CASH",E361="DAY CHEQUE",E361="POST DATED CHQ"),K361&lt;&gt;TRUE),AND(E361="POST DATED CHQ",ISBLANK(M361)),P361=TRUE,Q361=TRUE,AND(R361=TRUE,OR(ISBLANK(S361),ISBLANK(T361))),AND(E361="ONLINE",V361&lt;&gt;TRUE),AND(I361=TRUE,U361&lt;&gt;TRUE)),TRUE,FALSE)</x:f>
      </x:c>
      <x:c r="X361" s="22" t="n"/>
    </x:row>
    <x:row r="362">
      <x:c r="A362" s="22" t="n"/>
      <x:c r="B362" s="22" t="n"/>
      <x:c r="C362" s="22" t="n"/>
      <x:c r="D362" s="22" t="n"/>
      <x:c r="E362" s="22" t="n"/>
      <x:c r="F362" s="23" t="n"/>
      <x:c r="G362" s="23" t="n"/>
      <x:c r="H362" s="24">
        <x:f>IF(OR(ISBLANK(F362),ISBLANK(G362)),"",G362-F362)</x:f>
      </x:c>
      <x:c r="I362" s="25" t="n"/>
      <x:c r="J362" s="25" t="n"/>
      <x:c r="K362" s="25" t="n"/>
      <x:c r="L362" s="22" t="n"/>
      <x:c r="M362" s="22" t="n"/>
      <x:c r="N362" s="22" t="n"/>
      <x:c r="O362" s="22" t="n"/>
      <x:c r="P362" s="25" t="n"/>
      <x:c r="Q362" s="25" t="n"/>
      <x:c r="R362" s="25" t="n"/>
      <x:c r="S362" s="22" t="n"/>
      <x:c r="T362" s="23" t="n"/>
      <x:c r="U362" s="25" t="n"/>
      <x:c r="V362" s="25" t="n"/>
      <x:c r="W362" s="25">
        <x:f>IF(OR(AND(OR(O362="DELIVERED",O362="PARTIAL"),J362&lt;&gt;TRUE),AND(OR(E362="CASH",E362="DAY CHEQUE",E362="POST DATED CHQ"),I362&lt;&gt;TRUE),AND(OR(E362="CASH",E362="DAY CHEQUE",E362="POST DATED CHQ"),K362&lt;&gt;TRUE),AND(E362="POST DATED CHQ",ISBLANK(M362)),P362=TRUE,Q362=TRUE,AND(R362=TRUE,OR(ISBLANK(S362),ISBLANK(T362))),AND(E362="ONLINE",V362&lt;&gt;TRUE),AND(I362=TRUE,U362&lt;&gt;TRUE)),TRUE,FALSE)</x:f>
      </x:c>
      <x:c r="X362" s="22" t="n"/>
    </x:row>
    <x:row r="363">
      <x:c r="A363" s="22" t="n"/>
      <x:c r="B363" s="22" t="n"/>
      <x:c r="C363" s="22" t="n"/>
      <x:c r="D363" s="22" t="n"/>
      <x:c r="E363" s="22" t="n"/>
      <x:c r="F363" s="23" t="n"/>
      <x:c r="G363" s="23" t="n"/>
      <x:c r="H363" s="24">
        <x:f>IF(OR(ISBLANK(F363),ISBLANK(G363)),"",G363-F363)</x:f>
      </x:c>
      <x:c r="I363" s="25" t="n"/>
      <x:c r="J363" s="25" t="n"/>
      <x:c r="K363" s="25" t="n"/>
      <x:c r="L363" s="22" t="n"/>
      <x:c r="M363" s="22" t="n"/>
      <x:c r="N363" s="22" t="n"/>
      <x:c r="O363" s="22" t="n"/>
      <x:c r="P363" s="25" t="n"/>
      <x:c r="Q363" s="25" t="n"/>
      <x:c r="R363" s="25" t="n"/>
      <x:c r="S363" s="22" t="n"/>
      <x:c r="T363" s="23" t="n"/>
      <x:c r="U363" s="25" t="n"/>
      <x:c r="V363" s="25" t="n"/>
      <x:c r="W363" s="25">
        <x:f>IF(OR(AND(OR(O363="DELIVERED",O363="PARTIAL"),J363&lt;&gt;TRUE),AND(OR(E363="CASH",E363="DAY CHEQUE",E363="POST DATED CHQ"),I363&lt;&gt;TRUE),AND(OR(E363="CASH",E363="DAY CHEQUE",E363="POST DATED CHQ"),K363&lt;&gt;TRUE),AND(E363="POST DATED CHQ",ISBLANK(M363)),P363=TRUE,Q363=TRUE,AND(R363=TRUE,OR(ISBLANK(S363),ISBLANK(T363))),AND(E363="ONLINE",V363&lt;&gt;TRUE),AND(I363=TRUE,U363&lt;&gt;TRUE)),TRUE,FALSE)</x:f>
      </x:c>
      <x:c r="X363" s="22" t="n"/>
    </x:row>
    <x:row r="364">
      <x:c r="A364" s="22" t="n"/>
      <x:c r="B364" s="22" t="n"/>
      <x:c r="C364" s="22" t="n"/>
      <x:c r="D364" s="22" t="n"/>
      <x:c r="E364" s="22" t="n"/>
      <x:c r="F364" s="23" t="n"/>
      <x:c r="G364" s="23" t="n"/>
      <x:c r="H364" s="24">
        <x:f>IF(OR(ISBLANK(F364),ISBLANK(G364)),"",G364-F364)</x:f>
      </x:c>
      <x:c r="I364" s="25" t="n"/>
      <x:c r="J364" s="25" t="n"/>
      <x:c r="K364" s="25" t="n"/>
      <x:c r="L364" s="22" t="n"/>
      <x:c r="M364" s="22" t="n"/>
      <x:c r="N364" s="22" t="n"/>
      <x:c r="O364" s="22" t="n"/>
      <x:c r="P364" s="25" t="n"/>
      <x:c r="Q364" s="25" t="n"/>
      <x:c r="R364" s="25" t="n"/>
      <x:c r="S364" s="22" t="n"/>
      <x:c r="T364" s="23" t="n"/>
      <x:c r="U364" s="25" t="n"/>
      <x:c r="V364" s="25" t="n"/>
      <x:c r="W364" s="25">
        <x:f>IF(OR(AND(OR(O364="DELIVERED",O364="PARTIAL"),J364&lt;&gt;TRUE),AND(OR(E364="CASH",E364="DAY CHEQUE",E364="POST DATED CHQ"),I364&lt;&gt;TRUE),AND(OR(E364="CASH",E364="DAY CHEQUE",E364="POST DATED CHQ"),K364&lt;&gt;TRUE),AND(E364="POST DATED CHQ",ISBLANK(M364)),P364=TRUE,Q364=TRUE,AND(R364=TRUE,OR(ISBLANK(S364),ISBLANK(T364))),AND(E364="ONLINE",V364&lt;&gt;TRUE),AND(I364=TRUE,U364&lt;&gt;TRUE)),TRUE,FALSE)</x:f>
      </x:c>
      <x:c r="X364" s="22" t="n"/>
    </x:row>
    <x:row r="365">
      <x:c r="A365" s="22" t="n"/>
      <x:c r="B365" s="22" t="n"/>
      <x:c r="C365" s="22" t="n"/>
      <x:c r="D365" s="22" t="n"/>
      <x:c r="E365" s="22" t="n"/>
      <x:c r="F365" s="23" t="n"/>
      <x:c r="G365" s="23" t="n"/>
      <x:c r="H365" s="24">
        <x:f>IF(OR(ISBLANK(F365),ISBLANK(G365)),"",G365-F365)</x:f>
      </x:c>
      <x:c r="I365" s="25" t="n"/>
      <x:c r="J365" s="25" t="n"/>
      <x:c r="K365" s="25" t="n"/>
      <x:c r="L365" s="22" t="n"/>
      <x:c r="M365" s="22" t="n"/>
      <x:c r="N365" s="22" t="n"/>
      <x:c r="O365" s="22" t="n"/>
      <x:c r="P365" s="25" t="n"/>
      <x:c r="Q365" s="25" t="n"/>
      <x:c r="R365" s="25" t="n"/>
      <x:c r="S365" s="22" t="n"/>
      <x:c r="T365" s="23" t="n"/>
      <x:c r="U365" s="25" t="n"/>
      <x:c r="V365" s="25" t="n"/>
      <x:c r="W365" s="25">
        <x:f>IF(OR(AND(OR(O365="DELIVERED",O365="PARTIAL"),J365&lt;&gt;TRUE),AND(OR(E365="CASH",E365="DAY CHEQUE",E365="POST DATED CHQ"),I365&lt;&gt;TRUE),AND(OR(E365="CASH",E365="DAY CHEQUE",E365="POST DATED CHQ"),K365&lt;&gt;TRUE),AND(E365="POST DATED CHQ",ISBLANK(M365)),P365=TRUE,Q365=TRUE,AND(R365=TRUE,OR(ISBLANK(S365),ISBLANK(T365))),AND(E365="ONLINE",V365&lt;&gt;TRUE),AND(I365=TRUE,U365&lt;&gt;TRUE)),TRUE,FALSE)</x:f>
      </x:c>
      <x:c r="X365" s="22" t="n"/>
    </x:row>
    <x:row r="366">
      <x:c r="A366" s="22" t="n"/>
      <x:c r="B366" s="22" t="n"/>
      <x:c r="C366" s="22" t="n"/>
      <x:c r="D366" s="22" t="n"/>
      <x:c r="E366" s="22" t="n"/>
      <x:c r="F366" s="23" t="n"/>
      <x:c r="G366" s="23" t="n"/>
      <x:c r="H366" s="24">
        <x:f>IF(OR(ISBLANK(F366),ISBLANK(G366)),"",G366-F366)</x:f>
      </x:c>
      <x:c r="I366" s="25" t="n"/>
      <x:c r="J366" s="25" t="n"/>
      <x:c r="K366" s="25" t="n"/>
      <x:c r="L366" s="22" t="n"/>
      <x:c r="M366" s="22" t="n"/>
      <x:c r="N366" s="22" t="n"/>
      <x:c r="O366" s="22" t="n"/>
      <x:c r="P366" s="25" t="n"/>
      <x:c r="Q366" s="25" t="n"/>
      <x:c r="R366" s="25" t="n"/>
      <x:c r="S366" s="22" t="n"/>
      <x:c r="T366" s="23" t="n"/>
      <x:c r="U366" s="25" t="n"/>
      <x:c r="V366" s="25" t="n"/>
      <x:c r="W366" s="25">
        <x:f>IF(OR(AND(OR(O366="DELIVERED",O366="PARTIAL"),J366&lt;&gt;TRUE),AND(OR(E366="CASH",E366="DAY CHEQUE",E366="POST DATED CHQ"),I366&lt;&gt;TRUE),AND(OR(E366="CASH",E366="DAY CHEQUE",E366="POST DATED CHQ"),K366&lt;&gt;TRUE),AND(E366="POST DATED CHQ",ISBLANK(M366)),P366=TRUE,Q366=TRUE,AND(R366=TRUE,OR(ISBLANK(S366),ISBLANK(T366))),AND(E366="ONLINE",V366&lt;&gt;TRUE),AND(I366=TRUE,U366&lt;&gt;TRUE)),TRUE,FALSE)</x:f>
      </x:c>
      <x:c r="X366" s="22" t="n"/>
    </x:row>
    <x:row r="367">
      <x:c r="A367" s="22" t="n"/>
      <x:c r="B367" s="22" t="n"/>
      <x:c r="C367" s="22" t="n"/>
      <x:c r="D367" s="22" t="n"/>
      <x:c r="E367" s="22" t="n"/>
      <x:c r="F367" s="23" t="n"/>
      <x:c r="G367" s="23" t="n"/>
      <x:c r="H367" s="24">
        <x:f>IF(OR(ISBLANK(F367),ISBLANK(G367)),"",G367-F367)</x:f>
      </x:c>
      <x:c r="I367" s="25" t="n"/>
      <x:c r="J367" s="25" t="n"/>
      <x:c r="K367" s="25" t="n"/>
      <x:c r="L367" s="22" t="n"/>
      <x:c r="M367" s="22" t="n"/>
      <x:c r="N367" s="22" t="n"/>
      <x:c r="O367" s="22" t="n"/>
      <x:c r="P367" s="25" t="n"/>
      <x:c r="Q367" s="25" t="n"/>
      <x:c r="R367" s="25" t="n"/>
      <x:c r="S367" s="22" t="n"/>
      <x:c r="T367" s="23" t="n"/>
      <x:c r="U367" s="25" t="n"/>
      <x:c r="V367" s="25" t="n"/>
      <x:c r="W367" s="25">
        <x:f>IF(OR(AND(OR(O367="DELIVERED",O367="PARTIAL"),J367&lt;&gt;TRUE),AND(OR(E367="CASH",E367="DAY CHEQUE",E367="POST DATED CHQ"),I367&lt;&gt;TRUE),AND(OR(E367="CASH",E367="DAY CHEQUE",E367="POST DATED CHQ"),K367&lt;&gt;TRUE),AND(E367="POST DATED CHQ",ISBLANK(M367)),P367=TRUE,Q367=TRUE,AND(R367=TRUE,OR(ISBLANK(S367),ISBLANK(T367))),AND(E367="ONLINE",V367&lt;&gt;TRUE),AND(I367=TRUE,U367&lt;&gt;TRUE)),TRUE,FALSE)</x:f>
      </x:c>
      <x:c r="X367" s="22" t="n"/>
    </x:row>
    <x:row r="368">
      <x:c r="A368" s="22" t="n"/>
      <x:c r="B368" s="22" t="n"/>
      <x:c r="C368" s="22" t="n"/>
      <x:c r="D368" s="22" t="n"/>
      <x:c r="E368" s="22" t="n"/>
      <x:c r="F368" s="23" t="n"/>
      <x:c r="G368" s="23" t="n"/>
      <x:c r="H368" s="24">
        <x:f>IF(OR(ISBLANK(F368),ISBLANK(G368)),"",G368-F368)</x:f>
      </x:c>
      <x:c r="I368" s="25" t="n"/>
      <x:c r="J368" s="25" t="n"/>
      <x:c r="K368" s="25" t="n"/>
      <x:c r="L368" s="22" t="n"/>
      <x:c r="M368" s="22" t="n"/>
      <x:c r="N368" s="22" t="n"/>
      <x:c r="O368" s="22" t="n"/>
      <x:c r="P368" s="25" t="n"/>
      <x:c r="Q368" s="25" t="n"/>
      <x:c r="R368" s="25" t="n"/>
      <x:c r="S368" s="22" t="n"/>
      <x:c r="T368" s="23" t="n"/>
      <x:c r="U368" s="25" t="n"/>
      <x:c r="V368" s="25" t="n"/>
      <x:c r="W368" s="25">
        <x:f>IF(OR(AND(OR(O368="DELIVERED",O368="PARTIAL"),J368&lt;&gt;TRUE),AND(OR(E368="CASH",E368="DAY CHEQUE",E368="POST DATED CHQ"),I368&lt;&gt;TRUE),AND(OR(E368="CASH",E368="DAY CHEQUE",E368="POST DATED CHQ"),K368&lt;&gt;TRUE),AND(E368="POST DATED CHQ",ISBLANK(M368)),P368=TRUE,Q368=TRUE,AND(R368=TRUE,OR(ISBLANK(S368),ISBLANK(T368))),AND(E368="ONLINE",V368&lt;&gt;TRUE),AND(I368=TRUE,U368&lt;&gt;TRUE)),TRUE,FALSE)</x:f>
      </x:c>
      <x:c r="X368" s="22" t="n"/>
    </x:row>
    <x:row r="369">
      <x:c r="A369" s="22" t="n"/>
      <x:c r="B369" s="22" t="n"/>
      <x:c r="C369" s="22" t="n"/>
      <x:c r="D369" s="22" t="n"/>
      <x:c r="E369" s="22" t="n"/>
      <x:c r="F369" s="23" t="n"/>
      <x:c r="G369" s="23" t="n"/>
      <x:c r="H369" s="24">
        <x:f>IF(OR(ISBLANK(F369),ISBLANK(G369)),"",G369-F369)</x:f>
      </x:c>
      <x:c r="I369" s="25" t="n"/>
      <x:c r="J369" s="25" t="n"/>
      <x:c r="K369" s="25" t="n"/>
      <x:c r="L369" s="22" t="n"/>
      <x:c r="M369" s="22" t="n"/>
      <x:c r="N369" s="22" t="n"/>
      <x:c r="O369" s="22" t="n"/>
      <x:c r="P369" s="25" t="n"/>
      <x:c r="Q369" s="25" t="n"/>
      <x:c r="R369" s="25" t="n"/>
      <x:c r="S369" s="22" t="n"/>
      <x:c r="T369" s="23" t="n"/>
      <x:c r="U369" s="25" t="n"/>
      <x:c r="V369" s="25" t="n"/>
      <x:c r="W369" s="25">
        <x:f>IF(OR(AND(OR(O369="DELIVERED",O369="PARTIAL"),J369&lt;&gt;TRUE),AND(OR(E369="CASH",E369="DAY CHEQUE",E369="POST DATED CHQ"),I369&lt;&gt;TRUE),AND(OR(E369="CASH",E369="DAY CHEQUE",E369="POST DATED CHQ"),K369&lt;&gt;TRUE),AND(E369="POST DATED CHQ",ISBLANK(M369)),P369=TRUE,Q369=TRUE,AND(R369=TRUE,OR(ISBLANK(S369),ISBLANK(T369))),AND(E369="ONLINE",V369&lt;&gt;TRUE),AND(I369=TRUE,U369&lt;&gt;TRUE)),TRUE,FALSE)</x:f>
      </x:c>
      <x:c r="X369" s="22" t="n"/>
    </x:row>
    <x:row r="370">
      <x:c r="A370" s="22" t="n"/>
      <x:c r="B370" s="22" t="n"/>
      <x:c r="C370" s="22" t="n"/>
      <x:c r="D370" s="22" t="n"/>
      <x:c r="E370" s="22" t="n"/>
      <x:c r="F370" s="23" t="n"/>
      <x:c r="G370" s="23" t="n"/>
      <x:c r="H370" s="24">
        <x:f>IF(OR(ISBLANK(F370),ISBLANK(G370)),"",G370-F370)</x:f>
      </x:c>
      <x:c r="I370" s="25" t="n"/>
      <x:c r="J370" s="25" t="n"/>
      <x:c r="K370" s="25" t="n"/>
      <x:c r="L370" s="22" t="n"/>
      <x:c r="M370" s="22" t="n"/>
      <x:c r="N370" s="22" t="n"/>
      <x:c r="O370" s="22" t="n"/>
      <x:c r="P370" s="25" t="n"/>
      <x:c r="Q370" s="25" t="n"/>
      <x:c r="R370" s="25" t="n"/>
      <x:c r="S370" s="22" t="n"/>
      <x:c r="T370" s="23" t="n"/>
      <x:c r="U370" s="25" t="n"/>
      <x:c r="V370" s="25" t="n"/>
      <x:c r="W370" s="25">
        <x:f>IF(OR(AND(OR(O370="DELIVERED",O370="PARTIAL"),J370&lt;&gt;TRUE),AND(OR(E370="CASH",E370="DAY CHEQUE",E370="POST DATED CHQ"),I370&lt;&gt;TRUE),AND(OR(E370="CASH",E370="DAY CHEQUE",E370="POST DATED CHQ"),K370&lt;&gt;TRUE),AND(E370="POST DATED CHQ",ISBLANK(M370)),P370=TRUE,Q370=TRUE,AND(R370=TRUE,OR(ISBLANK(S370),ISBLANK(T370))),AND(E370="ONLINE",V370&lt;&gt;TRUE),AND(I370=TRUE,U370&lt;&gt;TRUE)),TRUE,FALSE)</x:f>
      </x:c>
      <x:c r="X370" s="22" t="n"/>
    </x:row>
    <x:row r="371">
      <x:c r="A371" s="22" t="n"/>
      <x:c r="B371" s="22" t="n"/>
      <x:c r="C371" s="22" t="n"/>
      <x:c r="D371" s="22" t="n"/>
      <x:c r="E371" s="22" t="n"/>
      <x:c r="F371" s="23" t="n"/>
      <x:c r="G371" s="23" t="n"/>
      <x:c r="H371" s="24">
        <x:f>IF(OR(ISBLANK(F371),ISBLANK(G371)),"",G371-F371)</x:f>
      </x:c>
      <x:c r="I371" s="25" t="n"/>
      <x:c r="J371" s="25" t="n"/>
      <x:c r="K371" s="25" t="n"/>
      <x:c r="L371" s="22" t="n"/>
      <x:c r="M371" s="22" t="n"/>
      <x:c r="N371" s="22" t="n"/>
      <x:c r="O371" s="22" t="n"/>
      <x:c r="P371" s="25" t="n"/>
      <x:c r="Q371" s="25" t="n"/>
      <x:c r="R371" s="25" t="n"/>
      <x:c r="S371" s="22" t="n"/>
      <x:c r="T371" s="23" t="n"/>
      <x:c r="U371" s="25" t="n"/>
      <x:c r="V371" s="25" t="n"/>
      <x:c r="W371" s="25">
        <x:f>IF(OR(AND(OR(O371="DELIVERED",O371="PARTIAL"),J371&lt;&gt;TRUE),AND(OR(E371="CASH",E371="DAY CHEQUE",E371="POST DATED CHQ"),I371&lt;&gt;TRUE),AND(OR(E371="CASH",E371="DAY CHEQUE",E371="POST DATED CHQ"),K371&lt;&gt;TRUE),AND(E371="POST DATED CHQ",ISBLANK(M371)),P371=TRUE,Q371=TRUE,AND(R371=TRUE,OR(ISBLANK(S371),ISBLANK(T371))),AND(E371="ONLINE",V371&lt;&gt;TRUE),AND(I371=TRUE,U371&lt;&gt;TRUE)),TRUE,FALSE)</x:f>
      </x:c>
      <x:c r="X371" s="22" t="n"/>
    </x:row>
    <x:row r="372">
      <x:c r="A372" s="22" t="n"/>
      <x:c r="B372" s="22" t="n"/>
      <x:c r="C372" s="22" t="n"/>
      <x:c r="D372" s="22" t="n"/>
      <x:c r="E372" s="22" t="n"/>
      <x:c r="F372" s="23" t="n"/>
      <x:c r="G372" s="23" t="n"/>
      <x:c r="H372" s="24">
        <x:f>IF(OR(ISBLANK(F372),ISBLANK(G372)),"",G372-F372)</x:f>
      </x:c>
      <x:c r="I372" s="25" t="n"/>
      <x:c r="J372" s="25" t="n"/>
      <x:c r="K372" s="25" t="n"/>
      <x:c r="L372" s="22" t="n"/>
      <x:c r="M372" s="22" t="n"/>
      <x:c r="N372" s="22" t="n"/>
      <x:c r="O372" s="22" t="n"/>
      <x:c r="P372" s="25" t="n"/>
      <x:c r="Q372" s="25" t="n"/>
      <x:c r="R372" s="25" t="n"/>
      <x:c r="S372" s="22" t="n"/>
      <x:c r="T372" s="23" t="n"/>
      <x:c r="U372" s="25" t="n"/>
      <x:c r="V372" s="25" t="n"/>
      <x:c r="W372" s="25">
        <x:f>IF(OR(AND(OR(O372="DELIVERED",O372="PARTIAL"),J372&lt;&gt;TRUE),AND(OR(E372="CASH",E372="DAY CHEQUE",E372="POST DATED CHQ"),I372&lt;&gt;TRUE),AND(OR(E372="CASH",E372="DAY CHEQUE",E372="POST DATED CHQ"),K372&lt;&gt;TRUE),AND(E372="POST DATED CHQ",ISBLANK(M372)),P372=TRUE,Q372=TRUE,AND(R372=TRUE,OR(ISBLANK(S372),ISBLANK(T372))),AND(E372="ONLINE",V372&lt;&gt;TRUE),AND(I372=TRUE,U372&lt;&gt;TRUE)),TRUE,FALSE)</x:f>
      </x:c>
      <x:c r="X372" s="22" t="n"/>
    </x:row>
    <x:row r="373">
      <x:c r="A373" s="22" t="n"/>
      <x:c r="B373" s="22" t="n"/>
      <x:c r="C373" s="22" t="n"/>
      <x:c r="D373" s="22" t="n"/>
      <x:c r="E373" s="22" t="n"/>
      <x:c r="F373" s="23" t="n"/>
      <x:c r="G373" s="23" t="n"/>
      <x:c r="H373" s="24">
        <x:f>IF(OR(ISBLANK(F373),ISBLANK(G373)),"",G373-F373)</x:f>
      </x:c>
      <x:c r="I373" s="25" t="n"/>
      <x:c r="J373" s="25" t="n"/>
      <x:c r="K373" s="25" t="n"/>
      <x:c r="L373" s="22" t="n"/>
      <x:c r="M373" s="22" t="n"/>
      <x:c r="N373" s="22" t="n"/>
      <x:c r="O373" s="22" t="n"/>
      <x:c r="P373" s="25" t="n"/>
      <x:c r="Q373" s="25" t="n"/>
      <x:c r="R373" s="25" t="n"/>
      <x:c r="S373" s="22" t="n"/>
      <x:c r="T373" s="23" t="n"/>
      <x:c r="U373" s="25" t="n"/>
      <x:c r="V373" s="25" t="n"/>
      <x:c r="W373" s="25">
        <x:f>IF(OR(AND(OR(O373="DELIVERED",O373="PARTIAL"),J373&lt;&gt;TRUE),AND(OR(E373="CASH",E373="DAY CHEQUE",E373="POST DATED CHQ"),I373&lt;&gt;TRUE),AND(OR(E373="CASH",E373="DAY CHEQUE",E373="POST DATED CHQ"),K373&lt;&gt;TRUE),AND(E373="POST DATED CHQ",ISBLANK(M373)),P373=TRUE,Q373=TRUE,AND(R373=TRUE,OR(ISBLANK(S373),ISBLANK(T373))),AND(E373="ONLINE",V373&lt;&gt;TRUE),AND(I373=TRUE,U373&lt;&gt;TRUE)),TRUE,FALSE)</x:f>
      </x:c>
      <x:c r="X373" s="22" t="n"/>
    </x:row>
    <x:row r="374">
      <x:c r="A374" s="22" t="n"/>
      <x:c r="B374" s="22" t="n"/>
      <x:c r="C374" s="22" t="n"/>
      <x:c r="D374" s="22" t="n"/>
      <x:c r="E374" s="22" t="n"/>
      <x:c r="F374" s="23" t="n"/>
      <x:c r="G374" s="23" t="n"/>
      <x:c r="H374" s="24">
        <x:f>IF(OR(ISBLANK(F374),ISBLANK(G374)),"",G374-F374)</x:f>
      </x:c>
      <x:c r="I374" s="25" t="n"/>
      <x:c r="J374" s="25" t="n"/>
      <x:c r="K374" s="25" t="n"/>
      <x:c r="L374" s="22" t="n"/>
      <x:c r="M374" s="22" t="n"/>
      <x:c r="N374" s="22" t="n"/>
      <x:c r="O374" s="22" t="n"/>
      <x:c r="P374" s="25" t="n"/>
      <x:c r="Q374" s="25" t="n"/>
      <x:c r="R374" s="25" t="n"/>
      <x:c r="S374" s="22" t="n"/>
      <x:c r="T374" s="23" t="n"/>
      <x:c r="U374" s="25" t="n"/>
      <x:c r="V374" s="25" t="n"/>
      <x:c r="W374" s="25">
        <x:f>IF(OR(AND(OR(O374="DELIVERED",O374="PARTIAL"),J374&lt;&gt;TRUE),AND(OR(E374="CASH",E374="DAY CHEQUE",E374="POST DATED CHQ"),I374&lt;&gt;TRUE),AND(OR(E374="CASH",E374="DAY CHEQUE",E374="POST DATED CHQ"),K374&lt;&gt;TRUE),AND(E374="POST DATED CHQ",ISBLANK(M374)),P374=TRUE,Q374=TRUE,AND(R374=TRUE,OR(ISBLANK(S374),ISBLANK(T374))),AND(E374="ONLINE",V374&lt;&gt;TRUE),AND(I374=TRUE,U374&lt;&gt;TRUE)),TRUE,FALSE)</x:f>
      </x:c>
      <x:c r="X374" s="22" t="n"/>
    </x:row>
    <x:row r="375">
      <x:c r="A375" s="22" t="n"/>
      <x:c r="B375" s="22" t="n"/>
      <x:c r="C375" s="22" t="n"/>
      <x:c r="D375" s="22" t="n"/>
      <x:c r="E375" s="22" t="n"/>
      <x:c r="F375" s="23" t="n"/>
      <x:c r="G375" s="23" t="n"/>
      <x:c r="H375" s="24">
        <x:f>IF(OR(ISBLANK(F375),ISBLANK(G375)),"",G375-F375)</x:f>
      </x:c>
      <x:c r="I375" s="25" t="n"/>
      <x:c r="J375" s="25" t="n"/>
      <x:c r="K375" s="25" t="n"/>
      <x:c r="L375" s="22" t="n"/>
      <x:c r="M375" s="22" t="n"/>
      <x:c r="N375" s="22" t="n"/>
      <x:c r="O375" s="22" t="n"/>
      <x:c r="P375" s="25" t="n"/>
      <x:c r="Q375" s="25" t="n"/>
      <x:c r="R375" s="25" t="n"/>
      <x:c r="S375" s="22" t="n"/>
      <x:c r="T375" s="23" t="n"/>
      <x:c r="U375" s="25" t="n"/>
      <x:c r="V375" s="25" t="n"/>
      <x:c r="W375" s="25">
        <x:f>IF(OR(AND(OR(O375="DELIVERED",O375="PARTIAL"),J375&lt;&gt;TRUE),AND(OR(E375="CASH",E375="DAY CHEQUE",E375="POST DATED CHQ"),I375&lt;&gt;TRUE),AND(OR(E375="CASH",E375="DAY CHEQUE",E375="POST DATED CHQ"),K375&lt;&gt;TRUE),AND(E375="POST DATED CHQ",ISBLANK(M375)),P375=TRUE,Q375=TRUE,AND(R375=TRUE,OR(ISBLANK(S375),ISBLANK(T375))),AND(E375="ONLINE",V375&lt;&gt;TRUE),AND(I375=TRUE,U375&lt;&gt;TRUE)),TRUE,FALSE)</x:f>
      </x:c>
      <x:c r="X375" s="22" t="n"/>
    </x:row>
    <x:row r="376">
      <x:c r="A376" s="22" t="n"/>
      <x:c r="B376" s="22" t="n"/>
      <x:c r="C376" s="22" t="n"/>
      <x:c r="D376" s="22" t="n"/>
      <x:c r="E376" s="22" t="n"/>
      <x:c r="F376" s="23" t="n"/>
      <x:c r="G376" s="23" t="n"/>
      <x:c r="H376" s="24">
        <x:f>IF(OR(ISBLANK(F376),ISBLANK(G376)),"",G376-F376)</x:f>
      </x:c>
      <x:c r="I376" s="25" t="n"/>
      <x:c r="J376" s="25" t="n"/>
      <x:c r="K376" s="25" t="n"/>
      <x:c r="L376" s="22" t="n"/>
      <x:c r="M376" s="22" t="n"/>
      <x:c r="N376" s="22" t="n"/>
      <x:c r="O376" s="22" t="n"/>
      <x:c r="P376" s="25" t="n"/>
      <x:c r="Q376" s="25" t="n"/>
      <x:c r="R376" s="25" t="n"/>
      <x:c r="S376" s="22" t="n"/>
      <x:c r="T376" s="23" t="n"/>
      <x:c r="U376" s="25" t="n"/>
      <x:c r="V376" s="25" t="n"/>
      <x:c r="W376" s="25">
        <x:f>IF(OR(AND(OR(O376="DELIVERED",O376="PARTIAL"),J376&lt;&gt;TRUE),AND(OR(E376="CASH",E376="DAY CHEQUE",E376="POST DATED CHQ"),I376&lt;&gt;TRUE),AND(OR(E376="CASH",E376="DAY CHEQUE",E376="POST DATED CHQ"),K376&lt;&gt;TRUE),AND(E376="POST DATED CHQ",ISBLANK(M376)),P376=TRUE,Q376=TRUE,AND(R376=TRUE,OR(ISBLANK(S376),ISBLANK(T376))),AND(E376="ONLINE",V376&lt;&gt;TRUE),AND(I376=TRUE,U376&lt;&gt;TRUE)),TRUE,FALSE)</x:f>
      </x:c>
      <x:c r="X376" s="22" t="n"/>
    </x:row>
    <x:row r="377">
      <x:c r="A377" s="22" t="n"/>
      <x:c r="B377" s="22" t="n"/>
      <x:c r="C377" s="22" t="n"/>
      <x:c r="D377" s="22" t="n"/>
      <x:c r="E377" s="22" t="n"/>
      <x:c r="F377" s="23" t="n"/>
      <x:c r="G377" s="23" t="n"/>
      <x:c r="H377" s="24">
        <x:f>IF(OR(ISBLANK(F377),ISBLANK(G377)),"",G377-F377)</x:f>
      </x:c>
      <x:c r="I377" s="25" t="n"/>
      <x:c r="J377" s="25" t="n"/>
      <x:c r="K377" s="25" t="n"/>
      <x:c r="L377" s="22" t="n"/>
      <x:c r="M377" s="22" t="n"/>
      <x:c r="N377" s="22" t="n"/>
      <x:c r="O377" s="22" t="n"/>
      <x:c r="P377" s="25" t="n"/>
      <x:c r="Q377" s="25" t="n"/>
      <x:c r="R377" s="25" t="n"/>
      <x:c r="S377" s="22" t="n"/>
      <x:c r="T377" s="23" t="n"/>
      <x:c r="U377" s="25" t="n"/>
      <x:c r="V377" s="25" t="n"/>
      <x:c r="W377" s="25">
        <x:f>IF(OR(AND(OR(O377="DELIVERED",O377="PARTIAL"),J377&lt;&gt;TRUE),AND(OR(E377="CASH",E377="DAY CHEQUE",E377="POST DATED CHQ"),I377&lt;&gt;TRUE),AND(OR(E377="CASH",E377="DAY CHEQUE",E377="POST DATED CHQ"),K377&lt;&gt;TRUE),AND(E377="POST DATED CHQ",ISBLANK(M377)),P377=TRUE,Q377=TRUE,AND(R377=TRUE,OR(ISBLANK(S377),ISBLANK(T377))),AND(E377="ONLINE",V377&lt;&gt;TRUE),AND(I377=TRUE,U377&lt;&gt;TRUE)),TRUE,FALSE)</x:f>
      </x:c>
      <x:c r="X377" s="22" t="n"/>
    </x:row>
    <x:row r="378">
      <x:c r="A378" s="22" t="n"/>
      <x:c r="B378" s="22" t="n"/>
      <x:c r="C378" s="22" t="n"/>
      <x:c r="D378" s="22" t="n"/>
      <x:c r="E378" s="22" t="n"/>
      <x:c r="F378" s="23" t="n"/>
      <x:c r="G378" s="23" t="n"/>
      <x:c r="H378" s="24">
        <x:f>IF(OR(ISBLANK(F378),ISBLANK(G378)),"",G378-F378)</x:f>
      </x:c>
      <x:c r="I378" s="25" t="n"/>
      <x:c r="J378" s="25" t="n"/>
      <x:c r="K378" s="25" t="n"/>
      <x:c r="L378" s="22" t="n"/>
      <x:c r="M378" s="22" t="n"/>
      <x:c r="N378" s="22" t="n"/>
      <x:c r="O378" s="22" t="n"/>
      <x:c r="P378" s="25" t="n"/>
      <x:c r="Q378" s="25" t="n"/>
      <x:c r="R378" s="25" t="n"/>
      <x:c r="S378" s="22" t="n"/>
      <x:c r="T378" s="23" t="n"/>
      <x:c r="U378" s="25" t="n"/>
      <x:c r="V378" s="25" t="n"/>
      <x:c r="W378" s="25">
        <x:f>IF(OR(AND(OR(O378="DELIVERED",O378="PARTIAL"),J378&lt;&gt;TRUE),AND(OR(E378="CASH",E378="DAY CHEQUE",E378="POST DATED CHQ"),I378&lt;&gt;TRUE),AND(OR(E378="CASH",E378="DAY CHEQUE",E378="POST DATED CHQ"),K378&lt;&gt;TRUE),AND(E378="POST DATED CHQ",ISBLANK(M378)),P378=TRUE,Q378=TRUE,AND(R378=TRUE,OR(ISBLANK(S378),ISBLANK(T378))),AND(E378="ONLINE",V378&lt;&gt;TRUE),AND(I378=TRUE,U378&lt;&gt;TRUE)),TRUE,FALSE)</x:f>
      </x:c>
      <x:c r="X378" s="22" t="n"/>
    </x:row>
    <x:row r="379">
      <x:c r="A379" s="22" t="n"/>
      <x:c r="B379" s="22" t="n"/>
      <x:c r="C379" s="22" t="n"/>
      <x:c r="D379" s="22" t="n"/>
      <x:c r="E379" s="22" t="n"/>
      <x:c r="F379" s="23" t="n"/>
      <x:c r="G379" s="23" t="n"/>
      <x:c r="H379" s="24">
        <x:f>IF(OR(ISBLANK(F379),ISBLANK(G379)),"",G379-F379)</x:f>
      </x:c>
      <x:c r="I379" s="25" t="n"/>
      <x:c r="J379" s="25" t="n"/>
      <x:c r="K379" s="25" t="n"/>
      <x:c r="L379" s="22" t="n"/>
      <x:c r="M379" s="22" t="n"/>
      <x:c r="N379" s="22" t="n"/>
      <x:c r="O379" s="22" t="n"/>
      <x:c r="P379" s="25" t="n"/>
      <x:c r="Q379" s="25" t="n"/>
      <x:c r="R379" s="25" t="n"/>
      <x:c r="S379" s="22" t="n"/>
      <x:c r="T379" s="23" t="n"/>
      <x:c r="U379" s="25" t="n"/>
      <x:c r="V379" s="25" t="n"/>
      <x:c r="W379" s="25">
        <x:f>IF(OR(AND(OR(O379="DELIVERED",O379="PARTIAL"),J379&lt;&gt;TRUE),AND(OR(E379="CASH",E379="DAY CHEQUE",E379="POST DATED CHQ"),I379&lt;&gt;TRUE),AND(OR(E379="CASH",E379="DAY CHEQUE",E379="POST DATED CHQ"),K379&lt;&gt;TRUE),AND(E379="POST DATED CHQ",ISBLANK(M379)),P379=TRUE,Q379=TRUE,AND(R379=TRUE,OR(ISBLANK(S379),ISBLANK(T379))),AND(E379="ONLINE",V379&lt;&gt;TRUE),AND(I379=TRUE,U379&lt;&gt;TRUE)),TRUE,FALSE)</x:f>
      </x:c>
      <x:c r="X379" s="22" t="n"/>
    </x:row>
    <x:row r="380">
      <x:c r="A380" s="22" t="n"/>
      <x:c r="B380" s="22" t="n"/>
      <x:c r="C380" s="22" t="n"/>
      <x:c r="D380" s="22" t="n"/>
      <x:c r="E380" s="22" t="n"/>
      <x:c r="F380" s="23" t="n"/>
      <x:c r="G380" s="23" t="n"/>
      <x:c r="H380" s="24">
        <x:f>IF(OR(ISBLANK(F380),ISBLANK(G380)),"",G380-F380)</x:f>
      </x:c>
      <x:c r="I380" s="25" t="n"/>
      <x:c r="J380" s="25" t="n"/>
      <x:c r="K380" s="25" t="n"/>
      <x:c r="L380" s="22" t="n"/>
      <x:c r="M380" s="22" t="n"/>
      <x:c r="N380" s="22" t="n"/>
      <x:c r="O380" s="22" t="n"/>
      <x:c r="P380" s="25" t="n"/>
      <x:c r="Q380" s="25" t="n"/>
      <x:c r="R380" s="25" t="n"/>
      <x:c r="S380" s="22" t="n"/>
      <x:c r="T380" s="23" t="n"/>
      <x:c r="U380" s="25" t="n"/>
      <x:c r="V380" s="25" t="n"/>
      <x:c r="W380" s="25">
        <x:f>IF(OR(AND(OR(O380="DELIVERED",O380="PARTIAL"),J380&lt;&gt;TRUE),AND(OR(E380="CASH",E380="DAY CHEQUE",E380="POST DATED CHQ"),I380&lt;&gt;TRUE),AND(OR(E380="CASH",E380="DAY CHEQUE",E380="POST DATED CHQ"),K380&lt;&gt;TRUE),AND(E380="POST DATED CHQ",ISBLANK(M380)),P380=TRUE,Q380=TRUE,AND(R380=TRUE,OR(ISBLANK(S380),ISBLANK(T380))),AND(E380="ONLINE",V380&lt;&gt;TRUE),AND(I380=TRUE,U380&lt;&gt;TRUE)),TRUE,FALSE)</x:f>
      </x:c>
      <x:c r="X380" s="22" t="n"/>
    </x:row>
    <x:row r="381">
      <x:c r="A381" s="22" t="n"/>
      <x:c r="B381" s="22" t="n"/>
      <x:c r="C381" s="22" t="n"/>
      <x:c r="D381" s="22" t="n"/>
      <x:c r="E381" s="22" t="n"/>
      <x:c r="F381" s="23" t="n"/>
      <x:c r="G381" s="23" t="n"/>
      <x:c r="H381" s="24">
        <x:f>IF(OR(ISBLANK(F381),ISBLANK(G381)),"",G381-F381)</x:f>
      </x:c>
      <x:c r="I381" s="25" t="n"/>
      <x:c r="J381" s="25" t="n"/>
      <x:c r="K381" s="25" t="n"/>
      <x:c r="L381" s="22" t="n"/>
      <x:c r="M381" s="22" t="n"/>
      <x:c r="N381" s="22" t="n"/>
      <x:c r="O381" s="22" t="n"/>
      <x:c r="P381" s="25" t="n"/>
      <x:c r="Q381" s="25" t="n"/>
      <x:c r="R381" s="25" t="n"/>
      <x:c r="S381" s="22" t="n"/>
      <x:c r="T381" s="23" t="n"/>
      <x:c r="U381" s="25" t="n"/>
      <x:c r="V381" s="25" t="n"/>
      <x:c r="W381" s="25">
        <x:f>IF(OR(AND(OR(O381="DELIVERED",O381="PARTIAL"),J381&lt;&gt;TRUE),AND(OR(E381="CASH",E381="DAY CHEQUE",E381="POST DATED CHQ"),I381&lt;&gt;TRUE),AND(OR(E381="CASH",E381="DAY CHEQUE",E381="POST DATED CHQ"),K381&lt;&gt;TRUE),AND(E381="POST DATED CHQ",ISBLANK(M381)),P381=TRUE,Q381=TRUE,AND(R381=TRUE,OR(ISBLANK(S381),ISBLANK(T381))),AND(E381="ONLINE",V381&lt;&gt;TRUE),AND(I381=TRUE,U381&lt;&gt;TRUE)),TRUE,FALSE)</x:f>
      </x:c>
      <x:c r="X381" s="22" t="n"/>
    </x:row>
    <x:row r="382">
      <x:c r="A382" s="22" t="n"/>
      <x:c r="B382" s="22" t="n"/>
      <x:c r="C382" s="22" t="n"/>
      <x:c r="D382" s="22" t="n"/>
      <x:c r="E382" s="22" t="n"/>
      <x:c r="F382" s="23" t="n"/>
      <x:c r="G382" s="23" t="n"/>
      <x:c r="H382" s="24">
        <x:f>IF(OR(ISBLANK(F382),ISBLANK(G382)),"",G382-F382)</x:f>
      </x:c>
      <x:c r="I382" s="25" t="n"/>
      <x:c r="J382" s="25" t="n"/>
      <x:c r="K382" s="25" t="n"/>
      <x:c r="L382" s="22" t="n"/>
      <x:c r="M382" s="22" t="n"/>
      <x:c r="N382" s="22" t="n"/>
      <x:c r="O382" s="22" t="n"/>
      <x:c r="P382" s="25" t="n"/>
      <x:c r="Q382" s="25" t="n"/>
      <x:c r="R382" s="25" t="n"/>
      <x:c r="S382" s="22" t="n"/>
      <x:c r="T382" s="23" t="n"/>
      <x:c r="U382" s="25" t="n"/>
      <x:c r="V382" s="25" t="n"/>
      <x:c r="W382" s="25">
        <x:f>IF(OR(AND(OR(O382="DELIVERED",O382="PARTIAL"),J382&lt;&gt;TRUE),AND(OR(E382="CASH",E382="DAY CHEQUE",E382="POST DATED CHQ"),I382&lt;&gt;TRUE),AND(OR(E382="CASH",E382="DAY CHEQUE",E382="POST DATED CHQ"),K382&lt;&gt;TRUE),AND(E382="POST DATED CHQ",ISBLANK(M382)),P382=TRUE,Q382=TRUE,AND(R382=TRUE,OR(ISBLANK(S382),ISBLANK(T382))),AND(E382="ONLINE",V382&lt;&gt;TRUE),AND(I382=TRUE,U382&lt;&gt;TRUE)),TRUE,FALSE)</x:f>
      </x:c>
      <x:c r="X382" s="22" t="n"/>
    </x:row>
    <x:row r="383">
      <x:c r="A383" s="22" t="n"/>
      <x:c r="B383" s="22" t="n"/>
      <x:c r="C383" s="22" t="n"/>
      <x:c r="D383" s="22" t="n"/>
      <x:c r="E383" s="22" t="n"/>
      <x:c r="F383" s="23" t="n"/>
      <x:c r="G383" s="23" t="n"/>
      <x:c r="H383" s="24">
        <x:f>IF(OR(ISBLANK(F383),ISBLANK(G383)),"",G383-F383)</x:f>
      </x:c>
      <x:c r="I383" s="25" t="n"/>
      <x:c r="J383" s="25" t="n"/>
      <x:c r="K383" s="25" t="n"/>
      <x:c r="L383" s="22" t="n"/>
      <x:c r="M383" s="22" t="n"/>
      <x:c r="N383" s="22" t="n"/>
      <x:c r="O383" s="22" t="n"/>
      <x:c r="P383" s="25" t="n"/>
      <x:c r="Q383" s="25" t="n"/>
      <x:c r="R383" s="25" t="n"/>
      <x:c r="S383" s="22" t="n"/>
      <x:c r="T383" s="23" t="n"/>
      <x:c r="U383" s="25" t="n"/>
      <x:c r="V383" s="25" t="n"/>
      <x:c r="W383" s="25">
        <x:f>IF(OR(AND(OR(O383="DELIVERED",O383="PARTIAL"),J383&lt;&gt;TRUE),AND(OR(E383="CASH",E383="DAY CHEQUE",E383="POST DATED CHQ"),I383&lt;&gt;TRUE),AND(OR(E383="CASH",E383="DAY CHEQUE",E383="POST DATED CHQ"),K383&lt;&gt;TRUE),AND(E383="POST DATED CHQ",ISBLANK(M383)),P383=TRUE,Q383=TRUE,AND(R383=TRUE,OR(ISBLANK(S383),ISBLANK(T383))),AND(E383="ONLINE",V383&lt;&gt;TRUE),AND(I383=TRUE,U383&lt;&gt;TRUE)),TRUE,FALSE)</x:f>
      </x:c>
      <x:c r="X383" s="22" t="n"/>
    </x:row>
    <x:row r="384">
      <x:c r="A384" s="22" t="n"/>
      <x:c r="B384" s="22" t="n"/>
      <x:c r="C384" s="22" t="n"/>
      <x:c r="D384" s="22" t="n"/>
      <x:c r="E384" s="22" t="n"/>
      <x:c r="F384" s="23" t="n"/>
      <x:c r="G384" s="23" t="n"/>
      <x:c r="H384" s="24">
        <x:f>IF(OR(ISBLANK(F384),ISBLANK(G384)),"",G384-F384)</x:f>
      </x:c>
      <x:c r="I384" s="25" t="n"/>
      <x:c r="J384" s="25" t="n"/>
      <x:c r="K384" s="25" t="n"/>
      <x:c r="L384" s="22" t="n"/>
      <x:c r="M384" s="22" t="n"/>
      <x:c r="N384" s="22" t="n"/>
      <x:c r="O384" s="22" t="n"/>
      <x:c r="P384" s="25" t="n"/>
      <x:c r="Q384" s="25" t="n"/>
      <x:c r="R384" s="25" t="n"/>
      <x:c r="S384" s="22" t="n"/>
      <x:c r="T384" s="23" t="n"/>
      <x:c r="U384" s="25" t="n"/>
      <x:c r="V384" s="25" t="n"/>
      <x:c r="W384" s="25">
        <x:f>IF(OR(AND(OR(O384="DELIVERED",O384="PARTIAL"),J384&lt;&gt;TRUE),AND(OR(E384="CASH",E384="DAY CHEQUE",E384="POST DATED CHQ"),I384&lt;&gt;TRUE),AND(OR(E384="CASH",E384="DAY CHEQUE",E384="POST DATED CHQ"),K384&lt;&gt;TRUE),AND(E384="POST DATED CHQ",ISBLANK(M384)),P384=TRUE,Q384=TRUE,AND(R384=TRUE,OR(ISBLANK(S384),ISBLANK(T384))),AND(E384="ONLINE",V384&lt;&gt;TRUE),AND(I384=TRUE,U384&lt;&gt;TRUE)),TRUE,FALSE)</x:f>
      </x:c>
      <x:c r="X384" s="22" t="n"/>
    </x:row>
    <x:row r="385">
      <x:c r="A385" s="22" t="n"/>
      <x:c r="B385" s="22" t="n"/>
      <x:c r="C385" s="22" t="n"/>
      <x:c r="D385" s="22" t="n"/>
      <x:c r="E385" s="22" t="n"/>
      <x:c r="F385" s="23" t="n"/>
      <x:c r="G385" s="23" t="n"/>
      <x:c r="H385" s="24">
        <x:f>IF(OR(ISBLANK(F385),ISBLANK(G385)),"",G385-F385)</x:f>
      </x:c>
      <x:c r="I385" s="25" t="n"/>
      <x:c r="J385" s="25" t="n"/>
      <x:c r="K385" s="25" t="n"/>
      <x:c r="L385" s="22" t="n"/>
      <x:c r="M385" s="22" t="n"/>
      <x:c r="N385" s="22" t="n"/>
      <x:c r="O385" s="22" t="n"/>
      <x:c r="P385" s="25" t="n"/>
      <x:c r="Q385" s="25" t="n"/>
      <x:c r="R385" s="25" t="n"/>
      <x:c r="S385" s="22" t="n"/>
      <x:c r="T385" s="23" t="n"/>
      <x:c r="U385" s="25" t="n"/>
      <x:c r="V385" s="25" t="n"/>
      <x:c r="W385" s="25">
        <x:f>IF(OR(AND(OR(O385="DELIVERED",O385="PARTIAL"),J385&lt;&gt;TRUE),AND(OR(E385="CASH",E385="DAY CHEQUE",E385="POST DATED CHQ"),I385&lt;&gt;TRUE),AND(OR(E385="CASH",E385="DAY CHEQUE",E385="POST DATED CHQ"),K385&lt;&gt;TRUE),AND(E385="POST DATED CHQ",ISBLANK(M385)),P385=TRUE,Q385=TRUE,AND(R385=TRUE,OR(ISBLANK(S385),ISBLANK(T385))),AND(E385="ONLINE",V385&lt;&gt;TRUE),AND(I385=TRUE,U385&lt;&gt;TRUE)),TRUE,FALSE)</x:f>
      </x:c>
      <x:c r="X385" s="22" t="n"/>
    </x:row>
    <x:row r="386">
      <x:c r="A386" s="22" t="n"/>
      <x:c r="B386" s="22" t="n"/>
      <x:c r="C386" s="22" t="n"/>
      <x:c r="D386" s="22" t="n"/>
      <x:c r="E386" s="22" t="n"/>
      <x:c r="F386" s="23" t="n"/>
      <x:c r="G386" s="23" t="n"/>
      <x:c r="H386" s="24">
        <x:f>IF(OR(ISBLANK(F386),ISBLANK(G386)),"",G386-F386)</x:f>
      </x:c>
      <x:c r="I386" s="25" t="n"/>
      <x:c r="J386" s="25" t="n"/>
      <x:c r="K386" s="25" t="n"/>
      <x:c r="L386" s="22" t="n"/>
      <x:c r="M386" s="22" t="n"/>
      <x:c r="N386" s="22" t="n"/>
      <x:c r="O386" s="22" t="n"/>
      <x:c r="P386" s="25" t="n"/>
      <x:c r="Q386" s="25" t="n"/>
      <x:c r="R386" s="25" t="n"/>
      <x:c r="S386" s="22" t="n"/>
      <x:c r="T386" s="23" t="n"/>
      <x:c r="U386" s="25" t="n"/>
      <x:c r="V386" s="25" t="n"/>
      <x:c r="W386" s="25">
        <x:f>IF(OR(AND(OR(O386="DELIVERED",O386="PARTIAL"),J386&lt;&gt;TRUE),AND(OR(E386="CASH",E386="DAY CHEQUE",E386="POST DATED CHQ"),I386&lt;&gt;TRUE),AND(OR(E386="CASH",E386="DAY CHEQUE",E386="POST DATED CHQ"),K386&lt;&gt;TRUE),AND(E386="POST DATED CHQ",ISBLANK(M386)),P386=TRUE,Q386=TRUE,AND(R386=TRUE,OR(ISBLANK(S386),ISBLANK(T386))),AND(E386="ONLINE",V386&lt;&gt;TRUE),AND(I386=TRUE,U386&lt;&gt;TRUE)),TRUE,FALSE)</x:f>
      </x:c>
      <x:c r="X386" s="22" t="n"/>
    </x:row>
    <x:row r="387">
      <x:c r="A387" s="22" t="n"/>
      <x:c r="B387" s="22" t="n"/>
      <x:c r="C387" s="22" t="n"/>
      <x:c r="D387" s="22" t="n"/>
      <x:c r="E387" s="22" t="n"/>
      <x:c r="F387" s="23" t="n"/>
      <x:c r="G387" s="23" t="n"/>
      <x:c r="H387" s="24">
        <x:f>IF(OR(ISBLANK(F387),ISBLANK(G387)),"",G387-F387)</x:f>
      </x:c>
      <x:c r="I387" s="25" t="n"/>
      <x:c r="J387" s="25" t="n"/>
      <x:c r="K387" s="25" t="n"/>
      <x:c r="L387" s="22" t="n"/>
      <x:c r="M387" s="22" t="n"/>
      <x:c r="N387" s="22" t="n"/>
      <x:c r="O387" s="22" t="n"/>
      <x:c r="P387" s="25" t="n"/>
      <x:c r="Q387" s="25" t="n"/>
      <x:c r="R387" s="25" t="n"/>
      <x:c r="S387" s="22" t="n"/>
      <x:c r="T387" s="23" t="n"/>
      <x:c r="U387" s="25" t="n"/>
      <x:c r="V387" s="25" t="n"/>
      <x:c r="W387" s="25">
        <x:f>IF(OR(AND(OR(O387="DELIVERED",O387="PARTIAL"),J387&lt;&gt;TRUE),AND(OR(E387="CASH",E387="DAY CHEQUE",E387="POST DATED CHQ"),I387&lt;&gt;TRUE),AND(OR(E387="CASH",E387="DAY CHEQUE",E387="POST DATED CHQ"),K387&lt;&gt;TRUE),AND(E387="POST DATED CHQ",ISBLANK(M387)),P387=TRUE,Q387=TRUE,AND(R387=TRUE,OR(ISBLANK(S387),ISBLANK(T387))),AND(E387="ONLINE",V387&lt;&gt;TRUE),AND(I387=TRUE,U387&lt;&gt;TRUE)),TRUE,FALSE)</x:f>
      </x:c>
      <x:c r="X387" s="22" t="n"/>
    </x:row>
    <x:row r="388">
      <x:c r="A388" s="22" t="n"/>
      <x:c r="B388" s="22" t="n"/>
      <x:c r="C388" s="22" t="n"/>
      <x:c r="D388" s="22" t="n"/>
      <x:c r="E388" s="22" t="n"/>
      <x:c r="F388" s="23" t="n"/>
      <x:c r="G388" s="23" t="n"/>
      <x:c r="H388" s="24">
        <x:f>IF(OR(ISBLANK(F388),ISBLANK(G388)),"",G388-F388)</x:f>
      </x:c>
      <x:c r="I388" s="25" t="n"/>
      <x:c r="J388" s="25" t="n"/>
      <x:c r="K388" s="25" t="n"/>
      <x:c r="L388" s="22" t="n"/>
      <x:c r="M388" s="22" t="n"/>
      <x:c r="N388" s="22" t="n"/>
      <x:c r="O388" s="22" t="n"/>
      <x:c r="P388" s="25" t="n"/>
      <x:c r="Q388" s="25" t="n"/>
      <x:c r="R388" s="25" t="n"/>
      <x:c r="S388" s="22" t="n"/>
      <x:c r="T388" s="23" t="n"/>
      <x:c r="U388" s="25" t="n"/>
      <x:c r="V388" s="25" t="n"/>
      <x:c r="W388" s="25">
        <x:f>IF(OR(AND(OR(O388="DELIVERED",O388="PARTIAL"),J388&lt;&gt;TRUE),AND(OR(E388="CASH",E388="DAY CHEQUE",E388="POST DATED CHQ"),I388&lt;&gt;TRUE),AND(OR(E388="CASH",E388="DAY CHEQUE",E388="POST DATED CHQ"),K388&lt;&gt;TRUE),AND(E388="POST DATED CHQ",ISBLANK(M388)),P388=TRUE,Q388=TRUE,AND(R388=TRUE,OR(ISBLANK(S388),ISBLANK(T388))),AND(E388="ONLINE",V388&lt;&gt;TRUE),AND(I388=TRUE,U388&lt;&gt;TRUE)),TRUE,FALSE)</x:f>
      </x:c>
      <x:c r="X388" s="22" t="n"/>
    </x:row>
    <x:row r="389">
      <x:c r="A389" s="22" t="n"/>
      <x:c r="B389" s="22" t="n"/>
      <x:c r="C389" s="22" t="n"/>
      <x:c r="D389" s="22" t="n"/>
      <x:c r="E389" s="22" t="n"/>
      <x:c r="F389" s="23" t="n"/>
      <x:c r="G389" s="23" t="n"/>
      <x:c r="H389" s="24">
        <x:f>IF(OR(ISBLANK(F389),ISBLANK(G389)),"",G389-F389)</x:f>
      </x:c>
      <x:c r="I389" s="25" t="n"/>
      <x:c r="J389" s="25" t="n"/>
      <x:c r="K389" s="25" t="n"/>
      <x:c r="L389" s="22" t="n"/>
      <x:c r="M389" s="22" t="n"/>
      <x:c r="N389" s="22" t="n"/>
      <x:c r="O389" s="22" t="n"/>
      <x:c r="P389" s="25" t="n"/>
      <x:c r="Q389" s="25" t="n"/>
      <x:c r="R389" s="25" t="n"/>
      <x:c r="S389" s="22" t="n"/>
      <x:c r="T389" s="23" t="n"/>
      <x:c r="U389" s="25" t="n"/>
      <x:c r="V389" s="25" t="n"/>
      <x:c r="W389" s="25">
        <x:f>IF(OR(AND(OR(O389="DELIVERED",O389="PARTIAL"),J389&lt;&gt;TRUE),AND(OR(E389="CASH",E389="DAY CHEQUE",E389="POST DATED CHQ"),I389&lt;&gt;TRUE),AND(OR(E389="CASH",E389="DAY CHEQUE",E389="POST DATED CHQ"),K389&lt;&gt;TRUE),AND(E389="POST DATED CHQ",ISBLANK(M389)),P389=TRUE,Q389=TRUE,AND(R389=TRUE,OR(ISBLANK(S389),ISBLANK(T389))),AND(E389="ONLINE",V389&lt;&gt;TRUE),AND(I389=TRUE,U389&lt;&gt;TRUE)),TRUE,FALSE)</x:f>
      </x:c>
      <x:c r="X389" s="22" t="n"/>
    </x:row>
    <x:row r="390">
      <x:c r="A390" s="22" t="n"/>
      <x:c r="B390" s="22" t="n"/>
      <x:c r="C390" s="22" t="n"/>
      <x:c r="D390" s="22" t="n"/>
      <x:c r="E390" s="22" t="n"/>
      <x:c r="F390" s="23" t="n"/>
      <x:c r="G390" s="23" t="n"/>
      <x:c r="H390" s="24">
        <x:f>IF(OR(ISBLANK(F390),ISBLANK(G390)),"",G390-F390)</x:f>
      </x:c>
      <x:c r="I390" s="25" t="n"/>
      <x:c r="J390" s="25" t="n"/>
      <x:c r="K390" s="25" t="n"/>
      <x:c r="L390" s="22" t="n"/>
      <x:c r="M390" s="22" t="n"/>
      <x:c r="N390" s="22" t="n"/>
      <x:c r="O390" s="22" t="n"/>
      <x:c r="P390" s="25" t="n"/>
      <x:c r="Q390" s="25" t="n"/>
      <x:c r="R390" s="25" t="n"/>
      <x:c r="S390" s="22" t="n"/>
      <x:c r="T390" s="23" t="n"/>
      <x:c r="U390" s="25" t="n"/>
      <x:c r="V390" s="25" t="n"/>
      <x:c r="W390" s="25">
        <x:f>IF(OR(AND(OR(O390="DELIVERED",O390="PARTIAL"),J390&lt;&gt;TRUE),AND(OR(E390="CASH",E390="DAY CHEQUE",E390="POST DATED CHQ"),I390&lt;&gt;TRUE),AND(OR(E390="CASH",E390="DAY CHEQUE",E390="POST DATED CHQ"),K390&lt;&gt;TRUE),AND(E390="POST DATED CHQ",ISBLANK(M390)),P390=TRUE,Q390=TRUE,AND(R390=TRUE,OR(ISBLANK(S390),ISBLANK(T390))),AND(E390="ONLINE",V390&lt;&gt;TRUE),AND(I390=TRUE,U390&lt;&gt;TRUE)),TRUE,FALSE)</x:f>
      </x:c>
      <x:c r="X390" s="22" t="n"/>
    </x:row>
    <x:row r="391">
      <x:c r="A391" s="22" t="n"/>
      <x:c r="B391" s="22" t="n"/>
      <x:c r="C391" s="22" t="n"/>
      <x:c r="D391" s="22" t="n"/>
      <x:c r="E391" s="22" t="n"/>
      <x:c r="F391" s="23" t="n"/>
      <x:c r="G391" s="23" t="n"/>
      <x:c r="H391" s="24">
        <x:f>IF(OR(ISBLANK(F391),ISBLANK(G391)),"",G391-F391)</x:f>
      </x:c>
      <x:c r="I391" s="25" t="n"/>
      <x:c r="J391" s="25" t="n"/>
      <x:c r="K391" s="25" t="n"/>
      <x:c r="L391" s="22" t="n"/>
      <x:c r="M391" s="22" t="n"/>
      <x:c r="N391" s="22" t="n"/>
      <x:c r="O391" s="22" t="n"/>
      <x:c r="P391" s="25" t="n"/>
      <x:c r="Q391" s="25" t="n"/>
      <x:c r="R391" s="25" t="n"/>
      <x:c r="S391" s="22" t="n"/>
      <x:c r="T391" s="23" t="n"/>
      <x:c r="U391" s="25" t="n"/>
      <x:c r="V391" s="25" t="n"/>
      <x:c r="W391" s="25">
        <x:f>IF(OR(AND(OR(O391="DELIVERED",O391="PARTIAL"),J391&lt;&gt;TRUE),AND(OR(E391="CASH",E391="DAY CHEQUE",E391="POST DATED CHQ"),I391&lt;&gt;TRUE),AND(OR(E391="CASH",E391="DAY CHEQUE",E391="POST DATED CHQ"),K391&lt;&gt;TRUE),AND(E391="POST DATED CHQ",ISBLANK(M391)),P391=TRUE,Q391=TRUE,AND(R391=TRUE,OR(ISBLANK(S391),ISBLANK(T391))),AND(E391="ONLINE",V391&lt;&gt;TRUE),AND(I391=TRUE,U391&lt;&gt;TRUE)),TRUE,FALSE)</x:f>
      </x:c>
      <x:c r="X391" s="22" t="n"/>
    </x:row>
    <x:row r="392">
      <x:c r="A392" s="22" t="n"/>
      <x:c r="B392" s="22" t="n"/>
      <x:c r="C392" s="22" t="n"/>
      <x:c r="D392" s="22" t="n"/>
      <x:c r="E392" s="22" t="n"/>
      <x:c r="F392" s="23" t="n"/>
      <x:c r="G392" s="23" t="n"/>
      <x:c r="H392" s="24">
        <x:f>IF(OR(ISBLANK(F392),ISBLANK(G392)),"",G392-F392)</x:f>
      </x:c>
      <x:c r="I392" s="25" t="n"/>
      <x:c r="J392" s="25" t="n"/>
      <x:c r="K392" s="25" t="n"/>
      <x:c r="L392" s="22" t="n"/>
      <x:c r="M392" s="22" t="n"/>
      <x:c r="N392" s="22" t="n"/>
      <x:c r="O392" s="22" t="n"/>
      <x:c r="P392" s="25" t="n"/>
      <x:c r="Q392" s="25" t="n"/>
      <x:c r="R392" s="25" t="n"/>
      <x:c r="S392" s="22" t="n"/>
      <x:c r="T392" s="23" t="n"/>
      <x:c r="U392" s="25" t="n"/>
      <x:c r="V392" s="25" t="n"/>
      <x:c r="W392" s="25">
        <x:f>IF(OR(AND(OR(O392="DELIVERED",O392="PARTIAL"),J392&lt;&gt;TRUE),AND(OR(E392="CASH",E392="DAY CHEQUE",E392="POST DATED CHQ"),I392&lt;&gt;TRUE),AND(OR(E392="CASH",E392="DAY CHEQUE",E392="POST DATED CHQ"),K392&lt;&gt;TRUE),AND(E392="POST DATED CHQ",ISBLANK(M392)),P392=TRUE,Q392=TRUE,AND(R392=TRUE,OR(ISBLANK(S392),ISBLANK(T392))),AND(E392="ONLINE",V392&lt;&gt;TRUE),AND(I392=TRUE,U392&lt;&gt;TRUE)),TRUE,FALSE)</x:f>
      </x:c>
      <x:c r="X392" s="22" t="n"/>
    </x:row>
    <x:row r="393">
      <x:c r="A393" s="22" t="n"/>
      <x:c r="B393" s="22" t="n"/>
      <x:c r="C393" s="22" t="n"/>
      <x:c r="D393" s="22" t="n"/>
      <x:c r="E393" s="22" t="n"/>
      <x:c r="F393" s="23" t="n"/>
      <x:c r="G393" s="23" t="n"/>
      <x:c r="H393" s="24">
        <x:f>IF(OR(ISBLANK(F393),ISBLANK(G393)),"",G393-F393)</x:f>
      </x:c>
      <x:c r="I393" s="25" t="n"/>
      <x:c r="J393" s="25" t="n"/>
      <x:c r="K393" s="25" t="n"/>
      <x:c r="L393" s="22" t="n"/>
      <x:c r="M393" s="22" t="n"/>
      <x:c r="N393" s="22" t="n"/>
      <x:c r="O393" s="22" t="n"/>
      <x:c r="P393" s="25" t="n"/>
      <x:c r="Q393" s="25" t="n"/>
      <x:c r="R393" s="25" t="n"/>
      <x:c r="S393" s="22" t="n"/>
      <x:c r="T393" s="23" t="n"/>
      <x:c r="U393" s="25" t="n"/>
      <x:c r="V393" s="25" t="n"/>
      <x:c r="W393" s="25">
        <x:f>IF(OR(AND(OR(O393="DELIVERED",O393="PARTIAL"),J393&lt;&gt;TRUE),AND(OR(E393="CASH",E393="DAY CHEQUE",E393="POST DATED CHQ"),I393&lt;&gt;TRUE),AND(OR(E393="CASH",E393="DAY CHEQUE",E393="POST DATED CHQ"),K393&lt;&gt;TRUE),AND(E393="POST DATED CHQ",ISBLANK(M393)),P393=TRUE,Q393=TRUE,AND(R393=TRUE,OR(ISBLANK(S393),ISBLANK(T393))),AND(E393="ONLINE",V393&lt;&gt;TRUE),AND(I393=TRUE,U393&lt;&gt;TRUE)),TRUE,FALSE)</x:f>
      </x:c>
      <x:c r="X393" s="22" t="n"/>
    </x:row>
    <x:row r="394">
      <x:c r="A394" s="22" t="n"/>
      <x:c r="B394" s="22" t="n"/>
      <x:c r="C394" s="22" t="n"/>
      <x:c r="D394" s="22" t="n"/>
      <x:c r="E394" s="22" t="n"/>
      <x:c r="F394" s="23" t="n"/>
      <x:c r="G394" s="23" t="n"/>
      <x:c r="H394" s="24">
        <x:f>IF(OR(ISBLANK(F394),ISBLANK(G394)),"",G394-F394)</x:f>
      </x:c>
      <x:c r="I394" s="25" t="n"/>
      <x:c r="J394" s="25" t="n"/>
      <x:c r="K394" s="25" t="n"/>
      <x:c r="L394" s="22" t="n"/>
      <x:c r="M394" s="22" t="n"/>
      <x:c r="N394" s="22" t="n"/>
      <x:c r="O394" s="22" t="n"/>
      <x:c r="P394" s="25" t="n"/>
      <x:c r="Q394" s="25" t="n"/>
      <x:c r="R394" s="25" t="n"/>
      <x:c r="S394" s="22" t="n"/>
      <x:c r="T394" s="23" t="n"/>
      <x:c r="U394" s="25" t="n"/>
      <x:c r="V394" s="25" t="n"/>
      <x:c r="W394" s="25">
        <x:f>IF(OR(AND(OR(O394="DELIVERED",O394="PARTIAL"),J394&lt;&gt;TRUE),AND(OR(E394="CASH",E394="DAY CHEQUE",E394="POST DATED CHQ"),I394&lt;&gt;TRUE),AND(OR(E394="CASH",E394="DAY CHEQUE",E394="POST DATED CHQ"),K394&lt;&gt;TRUE),AND(E394="POST DATED CHQ",ISBLANK(M394)),P394=TRUE,Q394=TRUE,AND(R394=TRUE,OR(ISBLANK(S394),ISBLANK(T394))),AND(E394="ONLINE",V394&lt;&gt;TRUE),AND(I394=TRUE,U394&lt;&gt;TRUE)),TRUE,FALSE)</x:f>
      </x:c>
      <x:c r="X394" s="22" t="n"/>
    </x:row>
    <x:row r="395">
      <x:c r="A395" s="22" t="n"/>
      <x:c r="B395" s="22" t="n"/>
      <x:c r="C395" s="22" t="n"/>
      <x:c r="D395" s="22" t="n"/>
      <x:c r="E395" s="22" t="n"/>
      <x:c r="F395" s="23" t="n"/>
      <x:c r="G395" s="23" t="n"/>
      <x:c r="H395" s="24">
        <x:f>IF(OR(ISBLANK(F395),ISBLANK(G395)),"",G395-F395)</x:f>
      </x:c>
      <x:c r="I395" s="25" t="n"/>
      <x:c r="J395" s="25" t="n"/>
      <x:c r="K395" s="25" t="n"/>
      <x:c r="L395" s="22" t="n"/>
      <x:c r="M395" s="22" t="n"/>
      <x:c r="N395" s="22" t="n"/>
      <x:c r="O395" s="22" t="n"/>
      <x:c r="P395" s="25" t="n"/>
      <x:c r="Q395" s="25" t="n"/>
      <x:c r="R395" s="25" t="n"/>
      <x:c r="S395" s="22" t="n"/>
      <x:c r="T395" s="23" t="n"/>
      <x:c r="U395" s="25" t="n"/>
      <x:c r="V395" s="25" t="n"/>
      <x:c r="W395" s="25">
        <x:f>IF(OR(AND(OR(O395="DELIVERED",O395="PARTIAL"),J395&lt;&gt;TRUE),AND(OR(E395="CASH",E395="DAY CHEQUE",E395="POST DATED CHQ"),I395&lt;&gt;TRUE),AND(OR(E395="CASH",E395="DAY CHEQUE",E395="POST DATED CHQ"),K395&lt;&gt;TRUE),AND(E395="POST DATED CHQ",ISBLANK(M395)),P395=TRUE,Q395=TRUE,AND(R395=TRUE,OR(ISBLANK(S395),ISBLANK(T395))),AND(E395="ONLINE",V395&lt;&gt;TRUE),AND(I395=TRUE,U395&lt;&gt;TRUE)),TRUE,FALSE)</x:f>
      </x:c>
      <x:c r="X395" s="22" t="n"/>
    </x:row>
    <x:row r="396">
      <x:c r="A396" s="22" t="n"/>
      <x:c r="B396" s="22" t="n"/>
      <x:c r="C396" s="22" t="n"/>
      <x:c r="D396" s="22" t="n"/>
      <x:c r="E396" s="22" t="n"/>
      <x:c r="F396" s="23" t="n"/>
      <x:c r="G396" s="23" t="n"/>
      <x:c r="H396" s="24">
        <x:f>IF(OR(ISBLANK(F396),ISBLANK(G396)),"",G396-F396)</x:f>
      </x:c>
      <x:c r="I396" s="25" t="n"/>
      <x:c r="J396" s="25" t="n"/>
      <x:c r="K396" s="25" t="n"/>
      <x:c r="L396" s="22" t="n"/>
      <x:c r="M396" s="22" t="n"/>
      <x:c r="N396" s="22" t="n"/>
      <x:c r="O396" s="22" t="n"/>
      <x:c r="P396" s="25" t="n"/>
      <x:c r="Q396" s="25" t="n"/>
      <x:c r="R396" s="25" t="n"/>
      <x:c r="S396" s="22" t="n"/>
      <x:c r="T396" s="23" t="n"/>
      <x:c r="U396" s="25" t="n"/>
      <x:c r="V396" s="25" t="n"/>
      <x:c r="W396" s="25">
        <x:f>IF(OR(AND(OR(O396="DELIVERED",O396="PARTIAL"),J396&lt;&gt;TRUE),AND(OR(E396="CASH",E396="DAY CHEQUE",E396="POST DATED CHQ"),I396&lt;&gt;TRUE),AND(OR(E396="CASH",E396="DAY CHEQUE",E396="POST DATED CHQ"),K396&lt;&gt;TRUE),AND(E396="POST DATED CHQ",ISBLANK(M396)),P396=TRUE,Q396=TRUE,AND(R396=TRUE,OR(ISBLANK(S396),ISBLANK(T396))),AND(E396="ONLINE",V396&lt;&gt;TRUE),AND(I396=TRUE,U396&lt;&gt;TRUE)),TRUE,FALSE)</x:f>
      </x:c>
      <x:c r="X396" s="22" t="n"/>
    </x:row>
    <x:row r="397">
      <x:c r="A397" s="22" t="n"/>
      <x:c r="B397" s="22" t="n"/>
      <x:c r="C397" s="22" t="n"/>
      <x:c r="D397" s="22" t="n"/>
      <x:c r="E397" s="22" t="n"/>
      <x:c r="F397" s="23" t="n"/>
      <x:c r="G397" s="23" t="n"/>
      <x:c r="H397" s="24">
        <x:f>IF(OR(ISBLANK(F397),ISBLANK(G397)),"",G397-F397)</x:f>
      </x:c>
      <x:c r="I397" s="25" t="n"/>
      <x:c r="J397" s="25" t="n"/>
      <x:c r="K397" s="25" t="n"/>
      <x:c r="L397" s="22" t="n"/>
      <x:c r="M397" s="22" t="n"/>
      <x:c r="N397" s="22" t="n"/>
      <x:c r="O397" s="22" t="n"/>
      <x:c r="P397" s="25" t="n"/>
      <x:c r="Q397" s="25" t="n"/>
      <x:c r="R397" s="25" t="n"/>
      <x:c r="S397" s="22" t="n"/>
      <x:c r="T397" s="23" t="n"/>
      <x:c r="U397" s="25" t="n"/>
      <x:c r="V397" s="25" t="n"/>
      <x:c r="W397" s="25">
        <x:f>IF(OR(AND(OR(O397="DELIVERED",O397="PARTIAL"),J397&lt;&gt;TRUE),AND(OR(E397="CASH",E397="DAY CHEQUE",E397="POST DATED CHQ"),I397&lt;&gt;TRUE),AND(OR(E397="CASH",E397="DAY CHEQUE",E397="POST DATED CHQ"),K397&lt;&gt;TRUE),AND(E397="POST DATED CHQ",ISBLANK(M397)),P397=TRUE,Q397=TRUE,AND(R397=TRUE,OR(ISBLANK(S397),ISBLANK(T397))),AND(E397="ONLINE",V397&lt;&gt;TRUE),AND(I397=TRUE,U397&lt;&gt;TRUE)),TRUE,FALSE)</x:f>
      </x:c>
      <x:c r="X397" s="22" t="n"/>
    </x:row>
    <x:row r="398">
      <x:c r="A398" s="22" t="n"/>
      <x:c r="B398" s="22" t="n"/>
      <x:c r="C398" s="22" t="n"/>
      <x:c r="D398" s="22" t="n"/>
      <x:c r="E398" s="22" t="n"/>
      <x:c r="F398" s="23" t="n"/>
      <x:c r="G398" s="23" t="n"/>
      <x:c r="H398" s="24">
        <x:f>IF(OR(ISBLANK(F398),ISBLANK(G398)),"",G398-F398)</x:f>
      </x:c>
      <x:c r="I398" s="25" t="n"/>
      <x:c r="J398" s="25" t="n"/>
      <x:c r="K398" s="25" t="n"/>
      <x:c r="L398" s="22" t="n"/>
      <x:c r="M398" s="22" t="n"/>
      <x:c r="N398" s="22" t="n"/>
      <x:c r="O398" s="22" t="n"/>
      <x:c r="P398" s="25" t="n"/>
      <x:c r="Q398" s="25" t="n"/>
      <x:c r="R398" s="25" t="n"/>
      <x:c r="S398" s="22" t="n"/>
      <x:c r="T398" s="23" t="n"/>
      <x:c r="U398" s="25" t="n"/>
      <x:c r="V398" s="25" t="n"/>
      <x:c r="W398" s="25">
        <x:f>IF(OR(AND(OR(O398="DELIVERED",O398="PARTIAL"),J398&lt;&gt;TRUE),AND(OR(E398="CASH",E398="DAY CHEQUE",E398="POST DATED CHQ"),I398&lt;&gt;TRUE),AND(OR(E398="CASH",E398="DAY CHEQUE",E398="POST DATED CHQ"),K398&lt;&gt;TRUE),AND(E398="POST DATED CHQ",ISBLANK(M398)),P398=TRUE,Q398=TRUE,AND(R398=TRUE,OR(ISBLANK(S398),ISBLANK(T398))),AND(E398="ONLINE",V398&lt;&gt;TRUE),AND(I398=TRUE,U398&lt;&gt;TRUE)),TRUE,FALSE)</x:f>
      </x:c>
      <x:c r="X398" s="22" t="n"/>
    </x:row>
    <x:row r="399">
      <x:c r="A399" s="22" t="n"/>
      <x:c r="B399" s="22" t="n"/>
      <x:c r="C399" s="22" t="n"/>
      <x:c r="D399" s="22" t="n"/>
      <x:c r="E399" s="22" t="n"/>
      <x:c r="F399" s="23" t="n"/>
      <x:c r="G399" s="23" t="n"/>
      <x:c r="H399" s="24">
        <x:f>IF(OR(ISBLANK(F399),ISBLANK(G399)),"",G399-F399)</x:f>
      </x:c>
      <x:c r="I399" s="25" t="n"/>
      <x:c r="J399" s="25" t="n"/>
      <x:c r="K399" s="25" t="n"/>
      <x:c r="L399" s="22" t="n"/>
      <x:c r="M399" s="22" t="n"/>
      <x:c r="N399" s="22" t="n"/>
      <x:c r="O399" s="22" t="n"/>
      <x:c r="P399" s="25" t="n"/>
      <x:c r="Q399" s="25" t="n"/>
      <x:c r="R399" s="25" t="n"/>
      <x:c r="S399" s="22" t="n"/>
      <x:c r="T399" s="23" t="n"/>
      <x:c r="U399" s="25" t="n"/>
      <x:c r="V399" s="25" t="n"/>
      <x:c r="W399" s="25">
        <x:f>IF(OR(AND(OR(O399="DELIVERED",O399="PARTIAL"),J399&lt;&gt;TRUE),AND(OR(E399="CASH",E399="DAY CHEQUE",E399="POST DATED CHQ"),I399&lt;&gt;TRUE),AND(OR(E399="CASH",E399="DAY CHEQUE",E399="POST DATED CHQ"),K399&lt;&gt;TRUE),AND(E399="POST DATED CHQ",ISBLANK(M399)),P399=TRUE,Q399=TRUE,AND(R399=TRUE,OR(ISBLANK(S399),ISBLANK(T399))),AND(E399="ONLINE",V399&lt;&gt;TRUE),AND(I399=TRUE,U399&lt;&gt;TRUE)),TRUE,FALSE)</x:f>
      </x:c>
      <x:c r="X399" s="22" t="n"/>
    </x:row>
    <x:row r="400">
      <x:c r="A400" s="22" t="n"/>
      <x:c r="B400" s="22" t="n"/>
      <x:c r="C400" s="22" t="n"/>
      <x:c r="D400" s="22" t="n"/>
      <x:c r="E400" s="22" t="n"/>
      <x:c r="F400" s="23" t="n"/>
      <x:c r="G400" s="23" t="n"/>
      <x:c r="H400" s="24">
        <x:f>IF(OR(ISBLANK(F400),ISBLANK(G400)),"",G400-F400)</x:f>
      </x:c>
      <x:c r="I400" s="25" t="n"/>
      <x:c r="J400" s="25" t="n"/>
      <x:c r="K400" s="25" t="n"/>
      <x:c r="L400" s="22" t="n"/>
      <x:c r="M400" s="22" t="n"/>
      <x:c r="N400" s="22" t="n"/>
      <x:c r="O400" s="22" t="n"/>
      <x:c r="P400" s="25" t="n"/>
      <x:c r="Q400" s="25" t="n"/>
      <x:c r="R400" s="25" t="n"/>
      <x:c r="S400" s="22" t="n"/>
      <x:c r="T400" s="23" t="n"/>
      <x:c r="U400" s="25" t="n"/>
      <x:c r="V400" s="25" t="n"/>
      <x:c r="W400" s="25">
        <x:f>IF(OR(AND(OR(O400="DELIVERED",O400="PARTIAL"),J400&lt;&gt;TRUE),AND(OR(E400="CASH",E400="DAY CHEQUE",E400="POST DATED CHQ"),I400&lt;&gt;TRUE),AND(OR(E400="CASH",E400="DAY CHEQUE",E400="POST DATED CHQ"),K400&lt;&gt;TRUE),AND(E400="POST DATED CHQ",ISBLANK(M400)),P400=TRUE,Q400=TRUE,AND(R400=TRUE,OR(ISBLANK(S400),ISBLANK(T400))),AND(E400="ONLINE",V400&lt;&gt;TRUE),AND(I400=TRUE,U400&lt;&gt;TRUE)),TRUE,FALSE)</x:f>
      </x:c>
      <x:c r="X400" s="22" t="n"/>
    </x:row>
    <x:row r="401">
      <x:c r="A401" s="22" t="n"/>
      <x:c r="B401" s="22" t="n"/>
      <x:c r="C401" s="22" t="n"/>
      <x:c r="D401" s="22" t="n"/>
      <x:c r="E401" s="22" t="n"/>
      <x:c r="F401" s="23" t="n"/>
      <x:c r="G401" s="23" t="n"/>
      <x:c r="H401" s="24">
        <x:f>IF(OR(ISBLANK(F401),ISBLANK(G401)),"",G401-F401)</x:f>
      </x:c>
      <x:c r="I401" s="25" t="n"/>
      <x:c r="J401" s="25" t="n"/>
      <x:c r="K401" s="25" t="n"/>
      <x:c r="L401" s="22" t="n"/>
      <x:c r="M401" s="22" t="n"/>
      <x:c r="N401" s="22" t="n"/>
      <x:c r="O401" s="22" t="n"/>
      <x:c r="P401" s="25" t="n"/>
      <x:c r="Q401" s="25" t="n"/>
      <x:c r="R401" s="25" t="n"/>
      <x:c r="S401" s="22" t="n"/>
      <x:c r="T401" s="23" t="n"/>
      <x:c r="U401" s="25" t="n"/>
      <x:c r="V401" s="25" t="n"/>
      <x:c r="W401" s="25">
        <x:f>IF(OR(AND(OR(O401="DELIVERED",O401="PARTIAL"),J401&lt;&gt;TRUE),AND(OR(E401="CASH",E401="DAY CHEQUE",E401="POST DATED CHQ"),I401&lt;&gt;TRUE),AND(OR(E401="CASH",E401="DAY CHEQUE",E401="POST DATED CHQ"),K401&lt;&gt;TRUE),AND(E401="POST DATED CHQ",ISBLANK(M401)),P401=TRUE,Q401=TRUE,AND(R401=TRUE,OR(ISBLANK(S401),ISBLANK(T401))),AND(E401="ONLINE",V401&lt;&gt;TRUE),AND(I401=TRUE,U401&lt;&gt;TRUE)),TRUE,FALSE)</x:f>
      </x:c>
      <x:c r="X401" s="22" t="n"/>
    </x:row>
    <x:row r="402">
      <x:c r="A402" s="22" t="n"/>
      <x:c r="B402" s="22" t="n"/>
      <x:c r="C402" s="22" t="n"/>
      <x:c r="D402" s="22" t="n"/>
      <x:c r="E402" s="22" t="n"/>
      <x:c r="F402" s="23" t="n"/>
      <x:c r="G402" s="23" t="n"/>
      <x:c r="H402" s="24">
        <x:f>IF(OR(ISBLANK(F402),ISBLANK(G402)),"",G402-F402)</x:f>
      </x:c>
      <x:c r="I402" s="25" t="n"/>
      <x:c r="J402" s="25" t="n"/>
      <x:c r="K402" s="25" t="n"/>
      <x:c r="L402" s="22" t="n"/>
      <x:c r="M402" s="22" t="n"/>
      <x:c r="N402" s="22" t="n"/>
      <x:c r="O402" s="22" t="n"/>
      <x:c r="P402" s="25" t="n"/>
      <x:c r="Q402" s="25" t="n"/>
      <x:c r="R402" s="25" t="n"/>
      <x:c r="S402" s="22" t="n"/>
      <x:c r="T402" s="23" t="n"/>
      <x:c r="U402" s="25" t="n"/>
      <x:c r="V402" s="25" t="n"/>
      <x:c r="W402" s="25">
        <x:f>IF(OR(AND(OR(O402="DELIVERED",O402="PARTIAL"),J402&lt;&gt;TRUE),AND(OR(E402="CASH",E402="DAY CHEQUE",E402="POST DATED CHQ"),I402&lt;&gt;TRUE),AND(OR(E402="CASH",E402="DAY CHEQUE",E402="POST DATED CHQ"),K402&lt;&gt;TRUE),AND(E402="POST DATED CHQ",ISBLANK(M402)),P402=TRUE,Q402=TRUE,AND(R402=TRUE,OR(ISBLANK(S402),ISBLANK(T402))),AND(E402="ONLINE",V402&lt;&gt;TRUE),AND(I402=TRUE,U402&lt;&gt;TRUE)),TRUE,FALSE)</x:f>
      </x:c>
      <x:c r="X402" s="22" t="n"/>
    </x:row>
    <x:row r="403">
      <x:c r="A403" s="22" t="n"/>
      <x:c r="B403" s="22" t="n"/>
      <x:c r="C403" s="22" t="n"/>
      <x:c r="D403" s="22" t="n"/>
      <x:c r="E403" s="22" t="n"/>
      <x:c r="F403" s="23" t="n"/>
      <x:c r="G403" s="23" t="n"/>
      <x:c r="H403" s="24">
        <x:f>IF(OR(ISBLANK(F403),ISBLANK(G403)),"",G403-F403)</x:f>
      </x:c>
      <x:c r="I403" s="25" t="n"/>
      <x:c r="J403" s="25" t="n"/>
      <x:c r="K403" s="25" t="n"/>
      <x:c r="L403" s="22" t="n"/>
      <x:c r="M403" s="22" t="n"/>
      <x:c r="N403" s="22" t="n"/>
      <x:c r="O403" s="22" t="n"/>
      <x:c r="P403" s="25" t="n"/>
      <x:c r="Q403" s="25" t="n"/>
      <x:c r="R403" s="25" t="n"/>
      <x:c r="S403" s="22" t="n"/>
      <x:c r="T403" s="23" t="n"/>
      <x:c r="U403" s="25" t="n"/>
      <x:c r="V403" s="25" t="n"/>
      <x:c r="W403" s="25">
        <x:f>IF(OR(AND(OR(O403="DELIVERED",O403="PARTIAL"),J403&lt;&gt;TRUE),AND(OR(E403="CASH",E403="DAY CHEQUE",E403="POST DATED CHQ"),I403&lt;&gt;TRUE),AND(OR(E403="CASH",E403="DAY CHEQUE",E403="POST DATED CHQ"),K403&lt;&gt;TRUE),AND(E403="POST DATED CHQ",ISBLANK(M403)),P403=TRUE,Q403=TRUE,AND(R403=TRUE,OR(ISBLANK(S403),ISBLANK(T403))),AND(E403="ONLINE",V403&lt;&gt;TRUE),AND(I403=TRUE,U403&lt;&gt;TRUE)),TRUE,FALSE)</x:f>
      </x:c>
      <x:c r="X403" s="22" t="n"/>
    </x:row>
    <x:row r="404">
      <x:c r="A404" s="22" t="n"/>
      <x:c r="B404" s="22" t="n"/>
      <x:c r="C404" s="22" t="n"/>
      <x:c r="D404" s="22" t="n"/>
      <x:c r="E404" s="22" t="n"/>
      <x:c r="F404" s="23" t="n"/>
      <x:c r="G404" s="23" t="n"/>
      <x:c r="H404" s="24">
        <x:f>IF(OR(ISBLANK(F404),ISBLANK(G404)),"",G404-F404)</x:f>
      </x:c>
      <x:c r="I404" s="25" t="n"/>
      <x:c r="J404" s="25" t="n"/>
      <x:c r="K404" s="25" t="n"/>
      <x:c r="L404" s="22" t="n"/>
      <x:c r="M404" s="22" t="n"/>
      <x:c r="N404" s="22" t="n"/>
      <x:c r="O404" s="22" t="n"/>
      <x:c r="P404" s="25" t="n"/>
      <x:c r="Q404" s="25" t="n"/>
      <x:c r="R404" s="25" t="n"/>
      <x:c r="S404" s="22" t="n"/>
      <x:c r="T404" s="23" t="n"/>
      <x:c r="U404" s="25" t="n"/>
      <x:c r="V404" s="25" t="n"/>
      <x:c r="W404" s="25">
        <x:f>IF(OR(AND(OR(O404="DELIVERED",O404="PARTIAL"),J404&lt;&gt;TRUE),AND(OR(E404="CASH",E404="DAY CHEQUE",E404="POST DATED CHQ"),I404&lt;&gt;TRUE),AND(OR(E404="CASH",E404="DAY CHEQUE",E404="POST DATED CHQ"),K404&lt;&gt;TRUE),AND(E404="POST DATED CHQ",ISBLANK(M404)),P404=TRUE,Q404=TRUE,AND(R404=TRUE,OR(ISBLANK(S404),ISBLANK(T404))),AND(E404="ONLINE",V404&lt;&gt;TRUE),AND(I404=TRUE,U404&lt;&gt;TRUE)),TRUE,FALSE)</x:f>
      </x:c>
      <x:c r="X404" s="22" t="n"/>
    </x:row>
    <x:row r="405">
      <x:c r="A405" s="22" t="n"/>
      <x:c r="B405" s="22" t="n"/>
      <x:c r="C405" s="22" t="n"/>
      <x:c r="D405" s="22" t="n"/>
      <x:c r="E405" s="22" t="n"/>
      <x:c r="F405" s="23" t="n"/>
      <x:c r="G405" s="23" t="n"/>
      <x:c r="H405" s="24">
        <x:f>IF(OR(ISBLANK(F405),ISBLANK(G405)),"",G405-F405)</x:f>
      </x:c>
      <x:c r="I405" s="25" t="n"/>
      <x:c r="J405" s="25" t="n"/>
      <x:c r="K405" s="25" t="n"/>
      <x:c r="L405" s="22" t="n"/>
      <x:c r="M405" s="22" t="n"/>
      <x:c r="N405" s="22" t="n"/>
      <x:c r="O405" s="22" t="n"/>
      <x:c r="P405" s="25" t="n"/>
      <x:c r="Q405" s="25" t="n"/>
      <x:c r="R405" s="25" t="n"/>
      <x:c r="S405" s="22" t="n"/>
      <x:c r="T405" s="23" t="n"/>
      <x:c r="U405" s="25" t="n"/>
      <x:c r="V405" s="25" t="n"/>
      <x:c r="W405" s="25">
        <x:f>IF(OR(AND(OR(O405="DELIVERED",O405="PARTIAL"),J405&lt;&gt;TRUE),AND(OR(E405="CASH",E405="DAY CHEQUE",E405="POST DATED CHQ"),I405&lt;&gt;TRUE),AND(OR(E405="CASH",E405="DAY CHEQUE",E405="POST DATED CHQ"),K405&lt;&gt;TRUE),AND(E405="POST DATED CHQ",ISBLANK(M405)),P405=TRUE,Q405=TRUE,AND(R405=TRUE,OR(ISBLANK(S405),ISBLANK(T405))),AND(E405="ONLINE",V405&lt;&gt;TRUE),AND(I405=TRUE,U405&lt;&gt;TRUE)),TRUE,FALSE)</x:f>
      </x:c>
      <x:c r="X405" s="22" t="n"/>
    </x:row>
    <x:row r="406">
      <x:c r="A406" s="22" t="n"/>
      <x:c r="B406" s="22" t="n"/>
      <x:c r="C406" s="22" t="n"/>
      <x:c r="D406" s="22" t="n"/>
      <x:c r="E406" s="22" t="n"/>
      <x:c r="F406" s="23" t="n"/>
      <x:c r="G406" s="23" t="n"/>
      <x:c r="H406" s="24">
        <x:f>IF(OR(ISBLANK(F406),ISBLANK(G406)),"",G406-F406)</x:f>
      </x:c>
      <x:c r="I406" s="25" t="n"/>
      <x:c r="J406" s="25" t="n"/>
      <x:c r="K406" s="25" t="n"/>
      <x:c r="L406" s="22" t="n"/>
      <x:c r="M406" s="22" t="n"/>
      <x:c r="N406" s="22" t="n"/>
      <x:c r="O406" s="22" t="n"/>
      <x:c r="P406" s="25" t="n"/>
      <x:c r="Q406" s="25" t="n"/>
      <x:c r="R406" s="25" t="n"/>
      <x:c r="S406" s="22" t="n"/>
      <x:c r="T406" s="23" t="n"/>
      <x:c r="U406" s="25" t="n"/>
      <x:c r="V406" s="25" t="n"/>
      <x:c r="W406" s="25">
        <x:f>IF(OR(AND(OR(O406="DELIVERED",O406="PARTIAL"),J406&lt;&gt;TRUE),AND(OR(E406="CASH",E406="DAY CHEQUE",E406="POST DATED CHQ"),I406&lt;&gt;TRUE),AND(OR(E406="CASH",E406="DAY CHEQUE",E406="POST DATED CHQ"),K406&lt;&gt;TRUE),AND(E406="POST DATED CHQ",ISBLANK(M406)),P406=TRUE,Q406=TRUE,AND(R406=TRUE,OR(ISBLANK(S406),ISBLANK(T406))),AND(E406="ONLINE",V406&lt;&gt;TRUE),AND(I406=TRUE,U406&lt;&gt;TRUE)),TRUE,FALSE)</x:f>
      </x:c>
      <x:c r="X406" s="22" t="n"/>
    </x:row>
    <x:row r="407">
      <x:c r="A407" s="22" t="n"/>
      <x:c r="B407" s="22" t="n"/>
      <x:c r="C407" s="22" t="n"/>
      <x:c r="D407" s="22" t="n"/>
      <x:c r="E407" s="22" t="n"/>
      <x:c r="F407" s="23" t="n"/>
      <x:c r="G407" s="23" t="n"/>
      <x:c r="H407" s="24">
        <x:f>IF(OR(ISBLANK(F407),ISBLANK(G407)),"",G407-F407)</x:f>
      </x:c>
      <x:c r="I407" s="25" t="n"/>
      <x:c r="J407" s="25" t="n"/>
      <x:c r="K407" s="25" t="n"/>
      <x:c r="L407" s="22" t="n"/>
      <x:c r="M407" s="22" t="n"/>
      <x:c r="N407" s="22" t="n"/>
      <x:c r="O407" s="22" t="n"/>
      <x:c r="P407" s="25" t="n"/>
      <x:c r="Q407" s="25" t="n"/>
      <x:c r="R407" s="25" t="n"/>
      <x:c r="S407" s="22" t="n"/>
      <x:c r="T407" s="23" t="n"/>
      <x:c r="U407" s="25" t="n"/>
      <x:c r="V407" s="25" t="n"/>
      <x:c r="W407" s="25">
        <x:f>IF(OR(AND(OR(O407="DELIVERED",O407="PARTIAL"),J407&lt;&gt;TRUE),AND(OR(E407="CASH",E407="DAY CHEQUE",E407="POST DATED CHQ"),I407&lt;&gt;TRUE),AND(OR(E407="CASH",E407="DAY CHEQUE",E407="POST DATED CHQ"),K407&lt;&gt;TRUE),AND(E407="POST DATED CHQ",ISBLANK(M407)),P407=TRUE,Q407=TRUE,AND(R407=TRUE,OR(ISBLANK(S407),ISBLANK(T407))),AND(E407="ONLINE",V407&lt;&gt;TRUE),AND(I407=TRUE,U407&lt;&gt;TRUE)),TRUE,FALSE)</x:f>
      </x:c>
      <x:c r="X407" s="22" t="n"/>
    </x:row>
    <x:row r="408">
      <x:c r="A408" s="22" t="n"/>
      <x:c r="B408" s="22" t="n"/>
      <x:c r="C408" s="22" t="n"/>
      <x:c r="D408" s="22" t="n"/>
      <x:c r="E408" s="22" t="n"/>
      <x:c r="F408" s="23" t="n"/>
      <x:c r="G408" s="23" t="n"/>
      <x:c r="H408" s="24">
        <x:f>IF(OR(ISBLANK(F408),ISBLANK(G408)),"",G408-F408)</x:f>
      </x:c>
      <x:c r="I408" s="25" t="n"/>
      <x:c r="J408" s="25" t="n"/>
      <x:c r="K408" s="25" t="n"/>
      <x:c r="L408" s="22" t="n"/>
      <x:c r="M408" s="22" t="n"/>
      <x:c r="N408" s="22" t="n"/>
      <x:c r="O408" s="22" t="n"/>
      <x:c r="P408" s="25" t="n"/>
      <x:c r="Q408" s="25" t="n"/>
      <x:c r="R408" s="25" t="n"/>
      <x:c r="S408" s="22" t="n"/>
      <x:c r="T408" s="23" t="n"/>
      <x:c r="U408" s="25" t="n"/>
      <x:c r="V408" s="25" t="n"/>
      <x:c r="W408" s="25">
        <x:f>IF(OR(AND(OR(O408="DELIVERED",O408="PARTIAL"),J408&lt;&gt;TRUE),AND(OR(E408="CASH",E408="DAY CHEQUE",E408="POST DATED CHQ"),I408&lt;&gt;TRUE),AND(OR(E408="CASH",E408="DAY CHEQUE",E408="POST DATED CHQ"),K408&lt;&gt;TRUE),AND(E408="POST DATED CHQ",ISBLANK(M408)),P408=TRUE,Q408=TRUE,AND(R408=TRUE,OR(ISBLANK(S408),ISBLANK(T408))),AND(E408="ONLINE",V408&lt;&gt;TRUE),AND(I408=TRUE,U408&lt;&gt;TRUE)),TRUE,FALSE)</x:f>
      </x:c>
      <x:c r="X408" s="22" t="n"/>
    </x:row>
    <x:row r="409">
      <x:c r="A409" s="22" t="n"/>
      <x:c r="B409" s="22" t="n"/>
      <x:c r="C409" s="22" t="n"/>
      <x:c r="D409" s="22" t="n"/>
      <x:c r="E409" s="22" t="n"/>
      <x:c r="F409" s="23" t="n"/>
      <x:c r="G409" s="23" t="n"/>
      <x:c r="H409" s="24">
        <x:f>IF(OR(ISBLANK(F409),ISBLANK(G409)),"",G409-F409)</x:f>
      </x:c>
      <x:c r="I409" s="25" t="n"/>
      <x:c r="J409" s="25" t="n"/>
      <x:c r="K409" s="25" t="n"/>
      <x:c r="L409" s="22" t="n"/>
      <x:c r="M409" s="22" t="n"/>
      <x:c r="N409" s="22" t="n"/>
      <x:c r="O409" s="22" t="n"/>
      <x:c r="P409" s="25" t="n"/>
      <x:c r="Q409" s="25" t="n"/>
      <x:c r="R409" s="25" t="n"/>
      <x:c r="S409" s="22" t="n"/>
      <x:c r="T409" s="23" t="n"/>
      <x:c r="U409" s="25" t="n"/>
      <x:c r="V409" s="25" t="n"/>
      <x:c r="W409" s="25">
        <x:f>IF(OR(AND(OR(O409="DELIVERED",O409="PARTIAL"),J409&lt;&gt;TRUE),AND(OR(E409="CASH",E409="DAY CHEQUE",E409="POST DATED CHQ"),I409&lt;&gt;TRUE),AND(OR(E409="CASH",E409="DAY CHEQUE",E409="POST DATED CHQ"),K409&lt;&gt;TRUE),AND(E409="POST DATED CHQ",ISBLANK(M409)),P409=TRUE,Q409=TRUE,AND(R409=TRUE,OR(ISBLANK(S409),ISBLANK(T409))),AND(E409="ONLINE",V409&lt;&gt;TRUE),AND(I409=TRUE,U409&lt;&gt;TRUE)),TRUE,FALSE)</x:f>
      </x:c>
      <x:c r="X409" s="22" t="n"/>
    </x:row>
    <x:row r="410">
      <x:c r="A410" s="22" t="n"/>
      <x:c r="B410" s="22" t="n"/>
      <x:c r="C410" s="22" t="n"/>
      <x:c r="D410" s="22" t="n"/>
      <x:c r="E410" s="22" t="n"/>
      <x:c r="F410" s="23" t="n"/>
      <x:c r="G410" s="23" t="n"/>
      <x:c r="H410" s="24">
        <x:f>IF(OR(ISBLANK(F410),ISBLANK(G410)),"",G410-F410)</x:f>
      </x:c>
      <x:c r="I410" s="25" t="n"/>
      <x:c r="J410" s="25" t="n"/>
      <x:c r="K410" s="25" t="n"/>
      <x:c r="L410" s="22" t="n"/>
      <x:c r="M410" s="22" t="n"/>
      <x:c r="N410" s="22" t="n"/>
      <x:c r="O410" s="22" t="n"/>
      <x:c r="P410" s="25" t="n"/>
      <x:c r="Q410" s="25" t="n"/>
      <x:c r="R410" s="25" t="n"/>
      <x:c r="S410" s="22" t="n"/>
      <x:c r="T410" s="23" t="n"/>
      <x:c r="U410" s="25" t="n"/>
      <x:c r="V410" s="25" t="n"/>
      <x:c r="W410" s="25">
        <x:f>IF(OR(AND(OR(O410="DELIVERED",O410="PARTIAL"),J410&lt;&gt;TRUE),AND(OR(E410="CASH",E410="DAY CHEQUE",E410="POST DATED CHQ"),I410&lt;&gt;TRUE),AND(OR(E410="CASH",E410="DAY CHEQUE",E410="POST DATED CHQ"),K410&lt;&gt;TRUE),AND(E410="POST DATED CHQ",ISBLANK(M410)),P410=TRUE,Q410=TRUE,AND(R410=TRUE,OR(ISBLANK(S410),ISBLANK(T410))),AND(E410="ONLINE",V410&lt;&gt;TRUE),AND(I410=TRUE,U410&lt;&gt;TRUE)),TRUE,FALSE)</x:f>
      </x:c>
      <x:c r="X410" s="22" t="n"/>
    </x:row>
    <x:row r="411">
      <x:c r="A411" s="22" t="n"/>
      <x:c r="B411" s="22" t="n"/>
      <x:c r="C411" s="22" t="n"/>
      <x:c r="D411" s="22" t="n"/>
      <x:c r="E411" s="22" t="n"/>
      <x:c r="F411" s="23" t="n"/>
      <x:c r="G411" s="23" t="n"/>
      <x:c r="H411" s="24">
        <x:f>IF(OR(ISBLANK(F411),ISBLANK(G411)),"",G411-F411)</x:f>
      </x:c>
      <x:c r="I411" s="25" t="n"/>
      <x:c r="J411" s="25" t="n"/>
      <x:c r="K411" s="25" t="n"/>
      <x:c r="L411" s="22" t="n"/>
      <x:c r="M411" s="22" t="n"/>
      <x:c r="N411" s="22" t="n"/>
      <x:c r="O411" s="22" t="n"/>
      <x:c r="P411" s="25" t="n"/>
      <x:c r="Q411" s="25" t="n"/>
      <x:c r="R411" s="25" t="n"/>
      <x:c r="S411" s="22" t="n"/>
      <x:c r="T411" s="23" t="n"/>
      <x:c r="U411" s="25" t="n"/>
      <x:c r="V411" s="25" t="n"/>
      <x:c r="W411" s="25">
        <x:f>IF(OR(AND(OR(O411="DELIVERED",O411="PARTIAL"),J411&lt;&gt;TRUE),AND(OR(E411="CASH",E411="DAY CHEQUE",E411="POST DATED CHQ"),I411&lt;&gt;TRUE),AND(OR(E411="CASH",E411="DAY CHEQUE",E411="POST DATED CHQ"),K411&lt;&gt;TRUE),AND(E411="POST DATED CHQ",ISBLANK(M411)),P411=TRUE,Q411=TRUE,AND(R411=TRUE,OR(ISBLANK(S411),ISBLANK(T411))),AND(E411="ONLINE",V411&lt;&gt;TRUE),AND(I411=TRUE,U411&lt;&gt;TRUE)),TRUE,FALSE)</x:f>
      </x:c>
      <x:c r="X411" s="22" t="n"/>
    </x:row>
    <x:row r="412">
      <x:c r="A412" s="22" t="n"/>
      <x:c r="B412" s="22" t="n"/>
      <x:c r="C412" s="22" t="n"/>
      <x:c r="D412" s="22" t="n"/>
      <x:c r="E412" s="22" t="n"/>
      <x:c r="F412" s="23" t="n"/>
      <x:c r="G412" s="23" t="n"/>
      <x:c r="H412" s="24">
        <x:f>IF(OR(ISBLANK(F412),ISBLANK(G412)),"",G412-F412)</x:f>
      </x:c>
      <x:c r="I412" s="25" t="n"/>
      <x:c r="J412" s="25" t="n"/>
      <x:c r="K412" s="25" t="n"/>
      <x:c r="L412" s="22" t="n"/>
      <x:c r="M412" s="22" t="n"/>
      <x:c r="N412" s="22" t="n"/>
      <x:c r="O412" s="22" t="n"/>
      <x:c r="P412" s="25" t="n"/>
      <x:c r="Q412" s="25" t="n"/>
      <x:c r="R412" s="25" t="n"/>
      <x:c r="S412" s="22" t="n"/>
      <x:c r="T412" s="23" t="n"/>
      <x:c r="U412" s="25" t="n"/>
      <x:c r="V412" s="25" t="n"/>
      <x:c r="W412" s="25">
        <x:f>IF(OR(AND(OR(O412="DELIVERED",O412="PARTIAL"),J412&lt;&gt;TRUE),AND(OR(E412="CASH",E412="DAY CHEQUE",E412="POST DATED CHQ"),I412&lt;&gt;TRUE),AND(OR(E412="CASH",E412="DAY CHEQUE",E412="POST DATED CHQ"),K412&lt;&gt;TRUE),AND(E412="POST DATED CHQ",ISBLANK(M412)),P412=TRUE,Q412=TRUE,AND(R412=TRUE,OR(ISBLANK(S412),ISBLANK(T412))),AND(E412="ONLINE",V412&lt;&gt;TRUE),AND(I412=TRUE,U412&lt;&gt;TRUE)),TRUE,FALSE)</x:f>
      </x:c>
      <x:c r="X412" s="22" t="n"/>
    </x:row>
    <x:row r="413">
      <x:c r="A413" s="22" t="n"/>
      <x:c r="B413" s="22" t="n"/>
      <x:c r="C413" s="22" t="n"/>
      <x:c r="D413" s="22" t="n"/>
      <x:c r="E413" s="22" t="n"/>
      <x:c r="F413" s="23" t="n"/>
      <x:c r="G413" s="23" t="n"/>
      <x:c r="H413" s="24">
        <x:f>IF(OR(ISBLANK(F413),ISBLANK(G413)),"",G413-F413)</x:f>
      </x:c>
      <x:c r="I413" s="25" t="n"/>
      <x:c r="J413" s="25" t="n"/>
      <x:c r="K413" s="25" t="n"/>
      <x:c r="L413" s="22" t="n"/>
      <x:c r="M413" s="22" t="n"/>
      <x:c r="N413" s="22" t="n"/>
      <x:c r="O413" s="22" t="n"/>
      <x:c r="P413" s="25" t="n"/>
      <x:c r="Q413" s="25" t="n"/>
      <x:c r="R413" s="25" t="n"/>
      <x:c r="S413" s="22" t="n"/>
      <x:c r="T413" s="23" t="n"/>
      <x:c r="U413" s="25" t="n"/>
      <x:c r="V413" s="25" t="n"/>
      <x:c r="W413" s="25">
        <x:f>IF(OR(AND(OR(O413="DELIVERED",O413="PARTIAL"),J413&lt;&gt;TRUE),AND(OR(E413="CASH",E413="DAY CHEQUE",E413="POST DATED CHQ"),I413&lt;&gt;TRUE),AND(OR(E413="CASH",E413="DAY CHEQUE",E413="POST DATED CHQ"),K413&lt;&gt;TRUE),AND(E413="POST DATED CHQ",ISBLANK(M413)),P413=TRUE,Q413=TRUE,AND(R413=TRUE,OR(ISBLANK(S413),ISBLANK(T413))),AND(E413="ONLINE",V413&lt;&gt;TRUE),AND(I413=TRUE,U413&lt;&gt;TRUE)),TRUE,FALSE)</x:f>
      </x:c>
      <x:c r="X413" s="22" t="n"/>
    </x:row>
    <x:row r="414">
      <x:c r="A414" s="22" t="n"/>
      <x:c r="B414" s="22" t="n"/>
      <x:c r="C414" s="22" t="n"/>
      <x:c r="D414" s="22" t="n"/>
      <x:c r="E414" s="22" t="n"/>
      <x:c r="F414" s="23" t="n"/>
      <x:c r="G414" s="23" t="n"/>
      <x:c r="H414" s="24">
        <x:f>IF(OR(ISBLANK(F414),ISBLANK(G414)),"",G414-F414)</x:f>
      </x:c>
      <x:c r="I414" s="25" t="n"/>
      <x:c r="J414" s="25" t="n"/>
      <x:c r="K414" s="25" t="n"/>
      <x:c r="L414" s="22" t="n"/>
      <x:c r="M414" s="22" t="n"/>
      <x:c r="N414" s="22" t="n"/>
      <x:c r="O414" s="22" t="n"/>
      <x:c r="P414" s="25" t="n"/>
      <x:c r="Q414" s="25" t="n"/>
      <x:c r="R414" s="25" t="n"/>
      <x:c r="S414" s="22" t="n"/>
      <x:c r="T414" s="23" t="n"/>
      <x:c r="U414" s="25" t="n"/>
      <x:c r="V414" s="25" t="n"/>
      <x:c r="W414" s="25">
        <x:f>IF(OR(AND(OR(O414="DELIVERED",O414="PARTIAL"),J414&lt;&gt;TRUE),AND(OR(E414="CASH",E414="DAY CHEQUE",E414="POST DATED CHQ"),I414&lt;&gt;TRUE),AND(OR(E414="CASH",E414="DAY CHEQUE",E414="POST DATED CHQ"),K414&lt;&gt;TRUE),AND(E414="POST DATED CHQ",ISBLANK(M414)),P414=TRUE,Q414=TRUE,AND(R414=TRUE,OR(ISBLANK(S414),ISBLANK(T414))),AND(E414="ONLINE",V414&lt;&gt;TRUE),AND(I414=TRUE,U414&lt;&gt;TRUE)),TRUE,FALSE)</x:f>
      </x:c>
      <x:c r="X414" s="22" t="n"/>
    </x:row>
    <x:row r="415">
      <x:c r="A415" s="22" t="n"/>
      <x:c r="B415" s="22" t="n"/>
      <x:c r="C415" s="22" t="n"/>
      <x:c r="D415" s="22" t="n"/>
      <x:c r="E415" s="22" t="n"/>
      <x:c r="F415" s="23" t="n"/>
      <x:c r="G415" s="23" t="n"/>
      <x:c r="H415" s="24">
        <x:f>IF(OR(ISBLANK(F415),ISBLANK(G415)),"",G415-F415)</x:f>
      </x:c>
      <x:c r="I415" s="25" t="n"/>
      <x:c r="J415" s="25" t="n"/>
      <x:c r="K415" s="25" t="n"/>
      <x:c r="L415" s="22" t="n"/>
      <x:c r="M415" s="22" t="n"/>
      <x:c r="N415" s="22" t="n"/>
      <x:c r="O415" s="22" t="n"/>
      <x:c r="P415" s="25" t="n"/>
      <x:c r="Q415" s="25" t="n"/>
      <x:c r="R415" s="25" t="n"/>
      <x:c r="S415" s="22" t="n"/>
      <x:c r="T415" s="23" t="n"/>
      <x:c r="U415" s="25" t="n"/>
      <x:c r="V415" s="25" t="n"/>
      <x:c r="W415" s="25">
        <x:f>IF(OR(AND(OR(O415="DELIVERED",O415="PARTIAL"),J415&lt;&gt;TRUE),AND(OR(E415="CASH",E415="DAY CHEQUE",E415="POST DATED CHQ"),I415&lt;&gt;TRUE),AND(OR(E415="CASH",E415="DAY CHEQUE",E415="POST DATED CHQ"),K415&lt;&gt;TRUE),AND(E415="POST DATED CHQ",ISBLANK(M415)),P415=TRUE,Q415=TRUE,AND(R415=TRUE,OR(ISBLANK(S415),ISBLANK(T415))),AND(E415="ONLINE",V415&lt;&gt;TRUE),AND(I415=TRUE,U415&lt;&gt;TRUE)),TRUE,FALSE)</x:f>
      </x:c>
      <x:c r="X415" s="22" t="n"/>
    </x:row>
    <x:row r="416">
      <x:c r="A416" s="22" t="n"/>
      <x:c r="B416" s="22" t="n"/>
      <x:c r="C416" s="22" t="n"/>
      <x:c r="D416" s="22" t="n"/>
      <x:c r="E416" s="22" t="n"/>
      <x:c r="F416" s="23" t="n"/>
      <x:c r="G416" s="23" t="n"/>
      <x:c r="H416" s="24">
        <x:f>IF(OR(ISBLANK(F416),ISBLANK(G416)),"",G416-F416)</x:f>
      </x:c>
      <x:c r="I416" s="25" t="n"/>
      <x:c r="J416" s="25" t="n"/>
      <x:c r="K416" s="25" t="n"/>
      <x:c r="L416" s="22" t="n"/>
      <x:c r="M416" s="22" t="n"/>
      <x:c r="N416" s="22" t="n"/>
      <x:c r="O416" s="22" t="n"/>
      <x:c r="P416" s="25" t="n"/>
      <x:c r="Q416" s="25" t="n"/>
      <x:c r="R416" s="25" t="n"/>
      <x:c r="S416" s="22" t="n"/>
      <x:c r="T416" s="23" t="n"/>
      <x:c r="U416" s="25" t="n"/>
      <x:c r="V416" s="25" t="n"/>
      <x:c r="W416" s="25">
        <x:f>IF(OR(AND(OR(O416="DELIVERED",O416="PARTIAL"),J416&lt;&gt;TRUE),AND(OR(E416="CASH",E416="DAY CHEQUE",E416="POST DATED CHQ"),I416&lt;&gt;TRUE),AND(OR(E416="CASH",E416="DAY CHEQUE",E416="POST DATED CHQ"),K416&lt;&gt;TRUE),AND(E416="POST DATED CHQ",ISBLANK(M416)),P416=TRUE,Q416=TRUE,AND(R416=TRUE,OR(ISBLANK(S416),ISBLANK(T416))),AND(E416="ONLINE",V416&lt;&gt;TRUE),AND(I416=TRUE,U416&lt;&gt;TRUE)),TRUE,FALSE)</x:f>
      </x:c>
      <x:c r="X416" s="22" t="n"/>
    </x:row>
    <x:row r="417">
      <x:c r="A417" s="22" t="n"/>
      <x:c r="B417" s="22" t="n"/>
      <x:c r="C417" s="22" t="n"/>
      <x:c r="D417" s="22" t="n"/>
      <x:c r="E417" s="22" t="n"/>
      <x:c r="F417" s="23" t="n"/>
      <x:c r="G417" s="23" t="n"/>
      <x:c r="H417" s="24">
        <x:f>IF(OR(ISBLANK(F417),ISBLANK(G417)),"",G417-F417)</x:f>
      </x:c>
      <x:c r="I417" s="25" t="n"/>
      <x:c r="J417" s="25" t="n"/>
      <x:c r="K417" s="25" t="n"/>
      <x:c r="L417" s="22" t="n"/>
      <x:c r="M417" s="22" t="n"/>
      <x:c r="N417" s="22" t="n"/>
      <x:c r="O417" s="22" t="n"/>
      <x:c r="P417" s="25" t="n"/>
      <x:c r="Q417" s="25" t="n"/>
      <x:c r="R417" s="25" t="n"/>
      <x:c r="S417" s="22" t="n"/>
      <x:c r="T417" s="23" t="n"/>
      <x:c r="U417" s="25" t="n"/>
      <x:c r="V417" s="25" t="n"/>
      <x:c r="W417" s="25">
        <x:f>IF(OR(AND(OR(O417="DELIVERED",O417="PARTIAL"),J417&lt;&gt;TRUE),AND(OR(E417="CASH",E417="DAY CHEQUE",E417="POST DATED CHQ"),I417&lt;&gt;TRUE),AND(OR(E417="CASH",E417="DAY CHEQUE",E417="POST DATED CHQ"),K417&lt;&gt;TRUE),AND(E417="POST DATED CHQ",ISBLANK(M417)),P417=TRUE,Q417=TRUE,AND(R417=TRUE,OR(ISBLANK(S417),ISBLANK(T417))),AND(E417="ONLINE",V417&lt;&gt;TRUE),AND(I417=TRUE,U417&lt;&gt;TRUE)),TRUE,FALSE)</x:f>
      </x:c>
      <x:c r="X417" s="22" t="n"/>
    </x:row>
    <x:row r="418">
      <x:c r="A418" s="22" t="n"/>
      <x:c r="B418" s="22" t="n"/>
      <x:c r="C418" s="22" t="n"/>
      <x:c r="D418" s="22" t="n"/>
      <x:c r="E418" s="22" t="n"/>
      <x:c r="F418" s="23" t="n"/>
      <x:c r="G418" s="23" t="n"/>
      <x:c r="H418" s="24">
        <x:f>IF(OR(ISBLANK(F418),ISBLANK(G418)),"",G418-F418)</x:f>
      </x:c>
      <x:c r="I418" s="25" t="n"/>
      <x:c r="J418" s="25" t="n"/>
      <x:c r="K418" s="25" t="n"/>
      <x:c r="L418" s="22" t="n"/>
      <x:c r="M418" s="22" t="n"/>
      <x:c r="N418" s="22" t="n"/>
      <x:c r="O418" s="22" t="n"/>
      <x:c r="P418" s="25" t="n"/>
      <x:c r="Q418" s="25" t="n"/>
      <x:c r="R418" s="25" t="n"/>
      <x:c r="S418" s="22" t="n"/>
      <x:c r="T418" s="23" t="n"/>
      <x:c r="U418" s="25" t="n"/>
      <x:c r="V418" s="25" t="n"/>
      <x:c r="W418" s="25">
        <x:f>IF(OR(AND(OR(O418="DELIVERED",O418="PARTIAL"),J418&lt;&gt;TRUE),AND(OR(E418="CASH",E418="DAY CHEQUE",E418="POST DATED CHQ"),I418&lt;&gt;TRUE),AND(OR(E418="CASH",E418="DAY CHEQUE",E418="POST DATED CHQ"),K418&lt;&gt;TRUE),AND(E418="POST DATED CHQ",ISBLANK(M418)),P418=TRUE,Q418=TRUE,AND(R418=TRUE,OR(ISBLANK(S418),ISBLANK(T418))),AND(E418="ONLINE",V418&lt;&gt;TRUE),AND(I418=TRUE,U418&lt;&gt;TRUE)),TRUE,FALSE)</x:f>
      </x:c>
      <x:c r="X418" s="22" t="n"/>
    </x:row>
    <x:row r="419">
      <x:c r="A419" s="22" t="n"/>
      <x:c r="B419" s="22" t="n"/>
      <x:c r="C419" s="22" t="n"/>
      <x:c r="D419" s="22" t="n"/>
      <x:c r="E419" s="22" t="n"/>
      <x:c r="F419" s="23" t="n"/>
      <x:c r="G419" s="23" t="n"/>
      <x:c r="H419" s="24">
        <x:f>IF(OR(ISBLANK(F419),ISBLANK(G419)),"",G419-F419)</x:f>
      </x:c>
      <x:c r="I419" s="25" t="n"/>
      <x:c r="J419" s="25" t="n"/>
      <x:c r="K419" s="25" t="n"/>
      <x:c r="L419" s="22" t="n"/>
      <x:c r="M419" s="22" t="n"/>
      <x:c r="N419" s="22" t="n"/>
      <x:c r="O419" s="22" t="n"/>
      <x:c r="P419" s="25" t="n"/>
      <x:c r="Q419" s="25" t="n"/>
      <x:c r="R419" s="25" t="n"/>
      <x:c r="S419" s="22" t="n"/>
      <x:c r="T419" s="23" t="n"/>
      <x:c r="U419" s="25" t="n"/>
      <x:c r="V419" s="25" t="n"/>
      <x:c r="W419" s="25">
        <x:f>IF(OR(AND(OR(O419="DELIVERED",O419="PARTIAL"),J419&lt;&gt;TRUE),AND(OR(E419="CASH",E419="DAY CHEQUE",E419="POST DATED CHQ"),I419&lt;&gt;TRUE),AND(OR(E419="CASH",E419="DAY CHEQUE",E419="POST DATED CHQ"),K419&lt;&gt;TRUE),AND(E419="POST DATED CHQ",ISBLANK(M419)),P419=TRUE,Q419=TRUE,AND(R419=TRUE,OR(ISBLANK(S419),ISBLANK(T419))),AND(E419="ONLINE",V419&lt;&gt;TRUE),AND(I419=TRUE,U419&lt;&gt;TRUE)),TRUE,FALSE)</x:f>
      </x:c>
      <x:c r="X419" s="22" t="n"/>
    </x:row>
    <x:row r="420">
      <x:c r="A420" s="22" t="n"/>
      <x:c r="B420" s="22" t="n"/>
      <x:c r="C420" s="22" t="n"/>
      <x:c r="D420" s="22" t="n"/>
      <x:c r="E420" s="22" t="n"/>
      <x:c r="F420" s="23" t="n"/>
      <x:c r="G420" s="23" t="n"/>
      <x:c r="H420" s="24">
        <x:f>IF(OR(ISBLANK(F420),ISBLANK(G420)),"",G420-F420)</x:f>
      </x:c>
      <x:c r="I420" s="25" t="n"/>
      <x:c r="J420" s="25" t="n"/>
      <x:c r="K420" s="25" t="n"/>
      <x:c r="L420" s="22" t="n"/>
      <x:c r="M420" s="22" t="n"/>
      <x:c r="N420" s="22" t="n"/>
      <x:c r="O420" s="22" t="n"/>
      <x:c r="P420" s="25" t="n"/>
      <x:c r="Q420" s="25" t="n"/>
      <x:c r="R420" s="25" t="n"/>
      <x:c r="S420" s="22" t="n"/>
      <x:c r="T420" s="23" t="n"/>
      <x:c r="U420" s="25" t="n"/>
      <x:c r="V420" s="25" t="n"/>
      <x:c r="W420" s="25">
        <x:f>IF(OR(AND(OR(O420="DELIVERED",O420="PARTIAL"),J420&lt;&gt;TRUE),AND(OR(E420="CASH",E420="DAY CHEQUE",E420="POST DATED CHQ"),I420&lt;&gt;TRUE),AND(OR(E420="CASH",E420="DAY CHEQUE",E420="POST DATED CHQ"),K420&lt;&gt;TRUE),AND(E420="POST DATED CHQ",ISBLANK(M420)),P420=TRUE,Q420=TRUE,AND(R420=TRUE,OR(ISBLANK(S420),ISBLANK(T420))),AND(E420="ONLINE",V420&lt;&gt;TRUE),AND(I420=TRUE,U420&lt;&gt;TRUE)),TRUE,FALSE)</x:f>
      </x:c>
      <x:c r="X420" s="22" t="n"/>
    </x:row>
    <x:row r="421">
      <x:c r="A421" s="22" t="n"/>
      <x:c r="B421" s="22" t="n"/>
      <x:c r="C421" s="22" t="n"/>
      <x:c r="D421" s="22" t="n"/>
      <x:c r="E421" s="22" t="n"/>
      <x:c r="F421" s="23" t="n"/>
      <x:c r="G421" s="23" t="n"/>
      <x:c r="H421" s="24">
        <x:f>IF(OR(ISBLANK(F421),ISBLANK(G421)),"",G421-F421)</x:f>
      </x:c>
      <x:c r="I421" s="25" t="n"/>
      <x:c r="J421" s="25" t="n"/>
      <x:c r="K421" s="25" t="n"/>
      <x:c r="L421" s="22" t="n"/>
      <x:c r="M421" s="22" t="n"/>
      <x:c r="N421" s="22" t="n"/>
      <x:c r="O421" s="22" t="n"/>
      <x:c r="P421" s="25" t="n"/>
      <x:c r="Q421" s="25" t="n"/>
      <x:c r="R421" s="25" t="n"/>
      <x:c r="S421" s="22" t="n"/>
      <x:c r="T421" s="23" t="n"/>
      <x:c r="U421" s="25" t="n"/>
      <x:c r="V421" s="25" t="n"/>
      <x:c r="W421" s="25">
        <x:f>IF(OR(AND(OR(O421="DELIVERED",O421="PARTIAL"),J421&lt;&gt;TRUE),AND(OR(E421="CASH",E421="DAY CHEQUE",E421="POST DATED CHQ"),I421&lt;&gt;TRUE),AND(OR(E421="CASH",E421="DAY CHEQUE",E421="POST DATED CHQ"),K421&lt;&gt;TRUE),AND(E421="POST DATED CHQ",ISBLANK(M421)),P421=TRUE,Q421=TRUE,AND(R421=TRUE,OR(ISBLANK(S421),ISBLANK(T421))),AND(E421="ONLINE",V421&lt;&gt;TRUE),AND(I421=TRUE,U421&lt;&gt;TRUE)),TRUE,FALSE)</x:f>
      </x:c>
      <x:c r="X421" s="22" t="n"/>
    </x:row>
    <x:row r="422">
      <x:c r="A422" s="22" t="n"/>
      <x:c r="B422" s="22" t="n"/>
      <x:c r="C422" s="22" t="n"/>
      <x:c r="D422" s="22" t="n"/>
      <x:c r="E422" s="22" t="n"/>
      <x:c r="F422" s="23" t="n"/>
      <x:c r="G422" s="23" t="n"/>
      <x:c r="H422" s="24">
        <x:f>IF(OR(ISBLANK(F422),ISBLANK(G422)),"",G422-F422)</x:f>
      </x:c>
      <x:c r="I422" s="25" t="n"/>
      <x:c r="J422" s="25" t="n"/>
      <x:c r="K422" s="25" t="n"/>
      <x:c r="L422" s="22" t="n"/>
      <x:c r="M422" s="22" t="n"/>
      <x:c r="N422" s="22" t="n"/>
      <x:c r="O422" s="22" t="n"/>
      <x:c r="P422" s="25" t="n"/>
      <x:c r="Q422" s="25" t="n"/>
      <x:c r="R422" s="25" t="n"/>
      <x:c r="S422" s="22" t="n"/>
      <x:c r="T422" s="23" t="n"/>
      <x:c r="U422" s="25" t="n"/>
      <x:c r="V422" s="25" t="n"/>
      <x:c r="W422" s="25">
        <x:f>IF(OR(AND(OR(O422="DELIVERED",O422="PARTIAL"),J422&lt;&gt;TRUE),AND(OR(E422="CASH",E422="DAY CHEQUE",E422="POST DATED CHQ"),I422&lt;&gt;TRUE),AND(OR(E422="CASH",E422="DAY CHEQUE",E422="POST DATED CHQ"),K422&lt;&gt;TRUE),AND(E422="POST DATED CHQ",ISBLANK(M422)),P422=TRUE,Q422=TRUE,AND(R422=TRUE,OR(ISBLANK(S422),ISBLANK(T422))),AND(E422="ONLINE",V422&lt;&gt;TRUE),AND(I422=TRUE,U422&lt;&gt;TRUE)),TRUE,FALSE)</x:f>
      </x:c>
      <x:c r="X422" s="22" t="n"/>
    </x:row>
    <x:row r="423">
      <x:c r="A423" s="22" t="n"/>
      <x:c r="B423" s="22" t="n"/>
      <x:c r="C423" s="22" t="n"/>
      <x:c r="D423" s="22" t="n"/>
      <x:c r="E423" s="22" t="n"/>
      <x:c r="F423" s="23" t="n"/>
      <x:c r="G423" s="23" t="n"/>
      <x:c r="H423" s="24">
        <x:f>IF(OR(ISBLANK(F423),ISBLANK(G423)),"",G423-F423)</x:f>
      </x:c>
      <x:c r="I423" s="25" t="n"/>
      <x:c r="J423" s="25" t="n"/>
      <x:c r="K423" s="25" t="n"/>
      <x:c r="L423" s="22" t="n"/>
      <x:c r="M423" s="22" t="n"/>
      <x:c r="N423" s="22" t="n"/>
      <x:c r="O423" s="22" t="n"/>
      <x:c r="P423" s="25" t="n"/>
      <x:c r="Q423" s="25" t="n"/>
      <x:c r="R423" s="25" t="n"/>
      <x:c r="S423" s="22" t="n"/>
      <x:c r="T423" s="23" t="n"/>
      <x:c r="U423" s="25" t="n"/>
      <x:c r="V423" s="25" t="n"/>
      <x:c r="W423" s="25">
        <x:f>IF(OR(AND(OR(O423="DELIVERED",O423="PARTIAL"),J423&lt;&gt;TRUE),AND(OR(E423="CASH",E423="DAY CHEQUE",E423="POST DATED CHQ"),I423&lt;&gt;TRUE),AND(OR(E423="CASH",E423="DAY CHEQUE",E423="POST DATED CHQ"),K423&lt;&gt;TRUE),AND(E423="POST DATED CHQ",ISBLANK(M423)),P423=TRUE,Q423=TRUE,AND(R423=TRUE,OR(ISBLANK(S423),ISBLANK(T423))),AND(E423="ONLINE",V423&lt;&gt;TRUE),AND(I423=TRUE,U423&lt;&gt;TRUE)),TRUE,FALSE)</x:f>
      </x:c>
      <x:c r="X423" s="22" t="n"/>
    </x:row>
    <x:row r="424">
      <x:c r="A424" s="22" t="n"/>
      <x:c r="B424" s="22" t="n"/>
      <x:c r="C424" s="22" t="n"/>
      <x:c r="D424" s="22" t="n"/>
      <x:c r="E424" s="22" t="n"/>
      <x:c r="F424" s="23" t="n"/>
      <x:c r="G424" s="23" t="n"/>
      <x:c r="H424" s="24">
        <x:f>IF(OR(ISBLANK(F424),ISBLANK(G424)),"",G424-F424)</x:f>
      </x:c>
      <x:c r="I424" s="25" t="n"/>
      <x:c r="J424" s="25" t="n"/>
      <x:c r="K424" s="25" t="n"/>
      <x:c r="L424" s="22" t="n"/>
      <x:c r="M424" s="22" t="n"/>
      <x:c r="N424" s="22" t="n"/>
      <x:c r="O424" s="22" t="n"/>
      <x:c r="P424" s="25" t="n"/>
      <x:c r="Q424" s="25" t="n"/>
      <x:c r="R424" s="25" t="n"/>
      <x:c r="S424" s="22" t="n"/>
      <x:c r="T424" s="23" t="n"/>
      <x:c r="U424" s="25" t="n"/>
      <x:c r="V424" s="25" t="n"/>
      <x:c r="W424" s="25">
        <x:f>IF(OR(AND(OR(O424="DELIVERED",O424="PARTIAL"),J424&lt;&gt;TRUE),AND(OR(E424="CASH",E424="DAY CHEQUE",E424="POST DATED CHQ"),I424&lt;&gt;TRUE),AND(OR(E424="CASH",E424="DAY CHEQUE",E424="POST DATED CHQ"),K424&lt;&gt;TRUE),AND(E424="POST DATED CHQ",ISBLANK(M424)),P424=TRUE,Q424=TRUE,AND(R424=TRUE,OR(ISBLANK(S424),ISBLANK(T424))),AND(E424="ONLINE",V424&lt;&gt;TRUE),AND(I424=TRUE,U424&lt;&gt;TRUE)),TRUE,FALSE)</x:f>
      </x:c>
      <x:c r="X424" s="22" t="n"/>
    </x:row>
    <x:row r="425">
      <x:c r="A425" s="22" t="n"/>
      <x:c r="B425" s="22" t="n"/>
      <x:c r="C425" s="22" t="n"/>
      <x:c r="D425" s="22" t="n"/>
      <x:c r="E425" s="22" t="n"/>
      <x:c r="F425" s="23" t="n"/>
      <x:c r="G425" s="23" t="n"/>
      <x:c r="H425" s="24">
        <x:f>IF(OR(ISBLANK(F425),ISBLANK(G425)),"",G425-F425)</x:f>
      </x:c>
      <x:c r="I425" s="25" t="n"/>
      <x:c r="J425" s="25" t="n"/>
      <x:c r="K425" s="25" t="n"/>
      <x:c r="L425" s="22" t="n"/>
      <x:c r="M425" s="22" t="n"/>
      <x:c r="N425" s="22" t="n"/>
      <x:c r="O425" s="22" t="n"/>
      <x:c r="P425" s="25" t="n"/>
      <x:c r="Q425" s="25" t="n"/>
      <x:c r="R425" s="25" t="n"/>
      <x:c r="S425" s="22" t="n"/>
      <x:c r="T425" s="23" t="n"/>
      <x:c r="U425" s="25" t="n"/>
      <x:c r="V425" s="25" t="n"/>
      <x:c r="W425" s="25">
        <x:f>IF(OR(AND(OR(O425="DELIVERED",O425="PARTIAL"),J425&lt;&gt;TRUE),AND(OR(E425="CASH",E425="DAY CHEQUE",E425="POST DATED CHQ"),I425&lt;&gt;TRUE),AND(OR(E425="CASH",E425="DAY CHEQUE",E425="POST DATED CHQ"),K425&lt;&gt;TRUE),AND(E425="POST DATED CHQ",ISBLANK(M425)),P425=TRUE,Q425=TRUE,AND(R425=TRUE,OR(ISBLANK(S425),ISBLANK(T425))),AND(E425="ONLINE",V425&lt;&gt;TRUE),AND(I425=TRUE,U425&lt;&gt;TRUE)),TRUE,FALSE)</x:f>
      </x:c>
      <x:c r="X425" s="22" t="n"/>
    </x:row>
    <x:row r="426">
      <x:c r="A426" s="22" t="n"/>
      <x:c r="B426" s="22" t="n"/>
      <x:c r="C426" s="22" t="n"/>
      <x:c r="D426" s="22" t="n"/>
      <x:c r="E426" s="22" t="n"/>
      <x:c r="F426" s="23" t="n"/>
      <x:c r="G426" s="23" t="n"/>
      <x:c r="H426" s="24">
        <x:f>IF(OR(ISBLANK(F426),ISBLANK(G426)),"",G426-F426)</x:f>
      </x:c>
      <x:c r="I426" s="25" t="n"/>
      <x:c r="J426" s="25" t="n"/>
      <x:c r="K426" s="25" t="n"/>
      <x:c r="L426" s="22" t="n"/>
      <x:c r="M426" s="22" t="n"/>
      <x:c r="N426" s="22" t="n"/>
      <x:c r="O426" s="22" t="n"/>
      <x:c r="P426" s="25" t="n"/>
      <x:c r="Q426" s="25" t="n"/>
      <x:c r="R426" s="25" t="n"/>
      <x:c r="S426" s="22" t="n"/>
      <x:c r="T426" s="23" t="n"/>
      <x:c r="U426" s="25" t="n"/>
      <x:c r="V426" s="25" t="n"/>
      <x:c r="W426" s="25">
        <x:f>IF(OR(AND(OR(O426="DELIVERED",O426="PARTIAL"),J426&lt;&gt;TRUE),AND(OR(E426="CASH",E426="DAY CHEQUE",E426="POST DATED CHQ"),I426&lt;&gt;TRUE),AND(OR(E426="CASH",E426="DAY CHEQUE",E426="POST DATED CHQ"),K426&lt;&gt;TRUE),AND(E426="POST DATED CHQ",ISBLANK(M426)),P426=TRUE,Q426=TRUE,AND(R426=TRUE,OR(ISBLANK(S426),ISBLANK(T426))),AND(E426="ONLINE",V426&lt;&gt;TRUE),AND(I426=TRUE,U426&lt;&gt;TRUE)),TRUE,FALSE)</x:f>
      </x:c>
      <x:c r="X426" s="22" t="n"/>
    </x:row>
    <x:row r="427">
      <x:c r="A427" s="22" t="n"/>
      <x:c r="B427" s="22" t="n"/>
      <x:c r="C427" s="22" t="n"/>
      <x:c r="D427" s="22" t="n"/>
      <x:c r="E427" s="22" t="n"/>
      <x:c r="F427" s="23" t="n"/>
      <x:c r="G427" s="23" t="n"/>
      <x:c r="H427" s="24">
        <x:f>IF(OR(ISBLANK(F427),ISBLANK(G427)),"",G427-F427)</x:f>
      </x:c>
      <x:c r="I427" s="25" t="n"/>
      <x:c r="J427" s="25" t="n"/>
      <x:c r="K427" s="25" t="n"/>
      <x:c r="L427" s="22" t="n"/>
      <x:c r="M427" s="22" t="n"/>
      <x:c r="N427" s="22" t="n"/>
      <x:c r="O427" s="22" t="n"/>
      <x:c r="P427" s="25" t="n"/>
      <x:c r="Q427" s="25" t="n"/>
      <x:c r="R427" s="25" t="n"/>
      <x:c r="S427" s="22" t="n"/>
      <x:c r="T427" s="23" t="n"/>
      <x:c r="U427" s="25" t="n"/>
      <x:c r="V427" s="25" t="n"/>
      <x:c r="W427" s="25">
        <x:f>IF(OR(AND(OR(O427="DELIVERED",O427="PARTIAL"),J427&lt;&gt;TRUE),AND(OR(E427="CASH",E427="DAY CHEQUE",E427="POST DATED CHQ"),I427&lt;&gt;TRUE),AND(OR(E427="CASH",E427="DAY CHEQUE",E427="POST DATED CHQ"),K427&lt;&gt;TRUE),AND(E427="POST DATED CHQ",ISBLANK(M427)),P427=TRUE,Q427=TRUE,AND(R427=TRUE,OR(ISBLANK(S427),ISBLANK(T427))),AND(E427="ONLINE",V427&lt;&gt;TRUE),AND(I427=TRUE,U427&lt;&gt;TRUE)),TRUE,FALSE)</x:f>
      </x:c>
      <x:c r="X427" s="22" t="n"/>
    </x:row>
    <x:row r="428">
      <x:c r="A428" s="22" t="n"/>
      <x:c r="B428" s="22" t="n"/>
      <x:c r="C428" s="22" t="n"/>
      <x:c r="D428" s="22" t="n"/>
      <x:c r="E428" s="22" t="n"/>
      <x:c r="F428" s="23" t="n"/>
      <x:c r="G428" s="23" t="n"/>
      <x:c r="H428" s="24">
        <x:f>IF(OR(ISBLANK(F428),ISBLANK(G428)),"",G428-F428)</x:f>
      </x:c>
      <x:c r="I428" s="25" t="n"/>
      <x:c r="J428" s="25" t="n"/>
      <x:c r="K428" s="25" t="n"/>
      <x:c r="L428" s="22" t="n"/>
      <x:c r="M428" s="22" t="n"/>
      <x:c r="N428" s="22" t="n"/>
      <x:c r="O428" s="22" t="n"/>
      <x:c r="P428" s="25" t="n"/>
      <x:c r="Q428" s="25" t="n"/>
      <x:c r="R428" s="25" t="n"/>
      <x:c r="S428" s="22" t="n"/>
      <x:c r="T428" s="23" t="n"/>
      <x:c r="U428" s="25" t="n"/>
      <x:c r="V428" s="25" t="n"/>
      <x:c r="W428" s="25">
        <x:f>IF(OR(AND(OR(O428="DELIVERED",O428="PARTIAL"),J428&lt;&gt;TRUE),AND(OR(E428="CASH",E428="DAY CHEQUE",E428="POST DATED CHQ"),I428&lt;&gt;TRUE),AND(OR(E428="CASH",E428="DAY CHEQUE",E428="POST DATED CHQ"),K428&lt;&gt;TRUE),AND(E428="POST DATED CHQ",ISBLANK(M428)),P428=TRUE,Q428=TRUE,AND(R428=TRUE,OR(ISBLANK(S428),ISBLANK(T428))),AND(E428="ONLINE",V428&lt;&gt;TRUE),AND(I428=TRUE,U428&lt;&gt;TRUE)),TRUE,FALSE)</x:f>
      </x:c>
      <x:c r="X428" s="22" t="n"/>
    </x:row>
    <x:row r="429">
      <x:c r="A429" s="22" t="n"/>
      <x:c r="B429" s="22" t="n"/>
      <x:c r="C429" s="22" t="n"/>
      <x:c r="D429" s="22" t="n"/>
      <x:c r="E429" s="22" t="n"/>
      <x:c r="F429" s="23" t="n"/>
      <x:c r="G429" s="23" t="n"/>
      <x:c r="H429" s="24">
        <x:f>IF(OR(ISBLANK(F429),ISBLANK(G429)),"",G429-F429)</x:f>
      </x:c>
      <x:c r="I429" s="25" t="n"/>
      <x:c r="J429" s="25" t="n"/>
      <x:c r="K429" s="25" t="n"/>
      <x:c r="L429" s="22" t="n"/>
      <x:c r="M429" s="22" t="n"/>
      <x:c r="N429" s="22" t="n"/>
      <x:c r="O429" s="22" t="n"/>
      <x:c r="P429" s="25" t="n"/>
      <x:c r="Q429" s="25" t="n"/>
      <x:c r="R429" s="25" t="n"/>
      <x:c r="S429" s="22" t="n"/>
      <x:c r="T429" s="23" t="n"/>
      <x:c r="U429" s="25" t="n"/>
      <x:c r="V429" s="25" t="n"/>
      <x:c r="W429" s="25">
        <x:f>IF(OR(AND(OR(O429="DELIVERED",O429="PARTIAL"),J429&lt;&gt;TRUE),AND(OR(E429="CASH",E429="DAY CHEQUE",E429="POST DATED CHQ"),I429&lt;&gt;TRUE),AND(OR(E429="CASH",E429="DAY CHEQUE",E429="POST DATED CHQ"),K429&lt;&gt;TRUE),AND(E429="POST DATED CHQ",ISBLANK(M429)),P429=TRUE,Q429=TRUE,AND(R429=TRUE,OR(ISBLANK(S429),ISBLANK(T429))),AND(E429="ONLINE",V429&lt;&gt;TRUE),AND(I429=TRUE,U429&lt;&gt;TRUE)),TRUE,FALSE)</x:f>
      </x:c>
      <x:c r="X429" s="22" t="n"/>
    </x:row>
    <x:row r="430">
      <x:c r="A430" s="22" t="n"/>
      <x:c r="B430" s="22" t="n"/>
      <x:c r="C430" s="22" t="n"/>
      <x:c r="D430" s="22" t="n"/>
      <x:c r="E430" s="22" t="n"/>
      <x:c r="F430" s="23" t="n"/>
      <x:c r="G430" s="23" t="n"/>
      <x:c r="H430" s="24">
        <x:f>IF(OR(ISBLANK(F430),ISBLANK(G430)),"",G430-F430)</x:f>
      </x:c>
      <x:c r="I430" s="25" t="n"/>
      <x:c r="J430" s="25" t="n"/>
      <x:c r="K430" s="25" t="n"/>
      <x:c r="L430" s="22" t="n"/>
      <x:c r="M430" s="22" t="n"/>
      <x:c r="N430" s="22" t="n"/>
      <x:c r="O430" s="22" t="n"/>
      <x:c r="P430" s="25" t="n"/>
      <x:c r="Q430" s="25" t="n"/>
      <x:c r="R430" s="25" t="n"/>
      <x:c r="S430" s="22" t="n"/>
      <x:c r="T430" s="23" t="n"/>
      <x:c r="U430" s="25" t="n"/>
      <x:c r="V430" s="25" t="n"/>
      <x:c r="W430" s="25">
        <x:f>IF(OR(AND(OR(O430="DELIVERED",O430="PARTIAL"),J430&lt;&gt;TRUE),AND(OR(E430="CASH",E430="DAY CHEQUE",E430="POST DATED CHQ"),I430&lt;&gt;TRUE),AND(OR(E430="CASH",E430="DAY CHEQUE",E430="POST DATED CHQ"),K430&lt;&gt;TRUE),AND(E430="POST DATED CHQ",ISBLANK(M430)),P430=TRUE,Q430=TRUE,AND(R430=TRUE,OR(ISBLANK(S430),ISBLANK(T430))),AND(E430="ONLINE",V430&lt;&gt;TRUE),AND(I430=TRUE,U430&lt;&gt;TRUE)),TRUE,FALSE)</x:f>
      </x:c>
      <x:c r="X430" s="22" t="n"/>
    </x:row>
    <x:row r="431">
      <x:c r="A431" s="22" t="n"/>
      <x:c r="B431" s="22" t="n"/>
      <x:c r="C431" s="22" t="n"/>
      <x:c r="D431" s="22" t="n"/>
      <x:c r="E431" s="22" t="n"/>
      <x:c r="F431" s="23" t="n"/>
      <x:c r="G431" s="23" t="n"/>
      <x:c r="H431" s="24">
        <x:f>IF(OR(ISBLANK(F431),ISBLANK(G431)),"",G431-F431)</x:f>
      </x:c>
      <x:c r="I431" s="25" t="n"/>
      <x:c r="J431" s="25" t="n"/>
      <x:c r="K431" s="25" t="n"/>
      <x:c r="L431" s="22" t="n"/>
      <x:c r="M431" s="22" t="n"/>
      <x:c r="N431" s="22" t="n"/>
      <x:c r="O431" s="22" t="n"/>
      <x:c r="P431" s="25" t="n"/>
      <x:c r="Q431" s="25" t="n"/>
      <x:c r="R431" s="25" t="n"/>
      <x:c r="S431" s="22" t="n"/>
      <x:c r="T431" s="23" t="n"/>
      <x:c r="U431" s="25" t="n"/>
      <x:c r="V431" s="25" t="n"/>
      <x:c r="W431" s="25">
        <x:f>IF(OR(AND(OR(O431="DELIVERED",O431="PARTIAL"),J431&lt;&gt;TRUE),AND(OR(E431="CASH",E431="DAY CHEQUE",E431="POST DATED CHQ"),I431&lt;&gt;TRUE),AND(OR(E431="CASH",E431="DAY CHEQUE",E431="POST DATED CHQ"),K431&lt;&gt;TRUE),AND(E431="POST DATED CHQ",ISBLANK(M431)),P431=TRUE,Q431=TRUE,AND(R431=TRUE,OR(ISBLANK(S431),ISBLANK(T431))),AND(E431="ONLINE",V431&lt;&gt;TRUE),AND(I431=TRUE,U431&lt;&gt;TRUE)),TRUE,FALSE)</x:f>
      </x:c>
      <x:c r="X431" s="22" t="n"/>
    </x:row>
    <x:row r="432">
      <x:c r="A432" s="22" t="n"/>
      <x:c r="B432" s="22" t="n"/>
      <x:c r="C432" s="22" t="n"/>
      <x:c r="D432" s="22" t="n"/>
      <x:c r="E432" s="22" t="n"/>
      <x:c r="F432" s="23" t="n"/>
      <x:c r="G432" s="23" t="n"/>
      <x:c r="H432" s="24">
        <x:f>IF(OR(ISBLANK(F432),ISBLANK(G432)),"",G432-F432)</x:f>
      </x:c>
      <x:c r="I432" s="25" t="n"/>
      <x:c r="J432" s="25" t="n"/>
      <x:c r="K432" s="25" t="n"/>
      <x:c r="L432" s="22" t="n"/>
      <x:c r="M432" s="22" t="n"/>
      <x:c r="N432" s="22" t="n"/>
      <x:c r="O432" s="22" t="n"/>
      <x:c r="P432" s="25" t="n"/>
      <x:c r="Q432" s="25" t="n"/>
      <x:c r="R432" s="25" t="n"/>
      <x:c r="S432" s="22" t="n"/>
      <x:c r="T432" s="23" t="n"/>
      <x:c r="U432" s="25" t="n"/>
      <x:c r="V432" s="25" t="n"/>
      <x:c r="W432" s="25">
        <x:f>IF(OR(AND(OR(O432="DELIVERED",O432="PARTIAL"),J432&lt;&gt;TRUE),AND(OR(E432="CASH",E432="DAY CHEQUE",E432="POST DATED CHQ"),I432&lt;&gt;TRUE),AND(OR(E432="CASH",E432="DAY CHEQUE",E432="POST DATED CHQ"),K432&lt;&gt;TRUE),AND(E432="POST DATED CHQ",ISBLANK(M432)),P432=TRUE,Q432=TRUE,AND(R432=TRUE,OR(ISBLANK(S432),ISBLANK(T432))),AND(E432="ONLINE",V432&lt;&gt;TRUE),AND(I432=TRUE,U432&lt;&gt;TRUE)),TRUE,FALSE)</x:f>
      </x:c>
      <x:c r="X432" s="22" t="n"/>
    </x:row>
    <x:row r="433">
      <x:c r="A433" s="22" t="n"/>
      <x:c r="B433" s="22" t="n"/>
      <x:c r="C433" s="22" t="n"/>
      <x:c r="D433" s="22" t="n"/>
      <x:c r="E433" s="22" t="n"/>
      <x:c r="F433" s="23" t="n"/>
      <x:c r="G433" s="23" t="n"/>
      <x:c r="H433" s="24">
        <x:f>IF(OR(ISBLANK(F433),ISBLANK(G433)),"",G433-F433)</x:f>
      </x:c>
      <x:c r="I433" s="25" t="n"/>
      <x:c r="J433" s="25" t="n"/>
      <x:c r="K433" s="25" t="n"/>
      <x:c r="L433" s="22" t="n"/>
      <x:c r="M433" s="22" t="n"/>
      <x:c r="N433" s="22" t="n"/>
      <x:c r="O433" s="22" t="n"/>
      <x:c r="P433" s="25" t="n"/>
      <x:c r="Q433" s="25" t="n"/>
      <x:c r="R433" s="25" t="n"/>
      <x:c r="S433" s="22" t="n"/>
      <x:c r="T433" s="23" t="n"/>
      <x:c r="U433" s="25" t="n"/>
      <x:c r="V433" s="25" t="n"/>
      <x:c r="W433" s="25">
        <x:f>IF(OR(AND(OR(O433="DELIVERED",O433="PARTIAL"),J433&lt;&gt;TRUE),AND(OR(E433="CASH",E433="DAY CHEQUE",E433="POST DATED CHQ"),I433&lt;&gt;TRUE),AND(OR(E433="CASH",E433="DAY CHEQUE",E433="POST DATED CHQ"),K433&lt;&gt;TRUE),AND(E433="POST DATED CHQ",ISBLANK(M433)),P433=TRUE,Q433=TRUE,AND(R433=TRUE,OR(ISBLANK(S433),ISBLANK(T433))),AND(E433="ONLINE",V433&lt;&gt;TRUE),AND(I433=TRUE,U433&lt;&gt;TRUE)),TRUE,FALSE)</x:f>
      </x:c>
      <x:c r="X433" s="22" t="n"/>
    </x:row>
    <x:row r="434">
      <x:c r="A434" s="22" t="n"/>
      <x:c r="B434" s="22" t="n"/>
      <x:c r="C434" s="22" t="n"/>
      <x:c r="D434" s="22" t="n"/>
      <x:c r="E434" s="22" t="n"/>
      <x:c r="F434" s="23" t="n"/>
      <x:c r="G434" s="23" t="n"/>
      <x:c r="H434" s="24">
        <x:f>IF(OR(ISBLANK(F434),ISBLANK(G434)),"",G434-F434)</x:f>
      </x:c>
      <x:c r="I434" s="25" t="n"/>
      <x:c r="J434" s="25" t="n"/>
      <x:c r="K434" s="25" t="n"/>
      <x:c r="L434" s="22" t="n"/>
      <x:c r="M434" s="22" t="n"/>
      <x:c r="N434" s="22" t="n"/>
      <x:c r="O434" s="22" t="n"/>
      <x:c r="P434" s="25" t="n"/>
      <x:c r="Q434" s="25" t="n"/>
      <x:c r="R434" s="25" t="n"/>
      <x:c r="S434" s="22" t="n"/>
      <x:c r="T434" s="23" t="n"/>
      <x:c r="U434" s="25" t="n"/>
      <x:c r="V434" s="25" t="n"/>
      <x:c r="W434" s="25">
        <x:f>IF(OR(AND(OR(O434="DELIVERED",O434="PARTIAL"),J434&lt;&gt;TRUE),AND(OR(E434="CASH",E434="DAY CHEQUE",E434="POST DATED CHQ"),I434&lt;&gt;TRUE),AND(OR(E434="CASH",E434="DAY CHEQUE",E434="POST DATED CHQ"),K434&lt;&gt;TRUE),AND(E434="POST DATED CHQ",ISBLANK(M434)),P434=TRUE,Q434=TRUE,AND(R434=TRUE,OR(ISBLANK(S434),ISBLANK(T434))),AND(E434="ONLINE",V434&lt;&gt;TRUE),AND(I434=TRUE,U434&lt;&gt;TRUE)),TRUE,FALSE)</x:f>
      </x:c>
      <x:c r="X434" s="22" t="n"/>
    </x:row>
    <x:row r="435">
      <x:c r="A435" s="22" t="n"/>
      <x:c r="B435" s="22" t="n"/>
      <x:c r="C435" s="22" t="n"/>
      <x:c r="D435" s="22" t="n"/>
      <x:c r="E435" s="22" t="n"/>
      <x:c r="F435" s="23" t="n"/>
      <x:c r="G435" s="23" t="n"/>
      <x:c r="H435" s="24">
        <x:f>IF(OR(ISBLANK(F435),ISBLANK(G435)),"",G435-F435)</x:f>
      </x:c>
      <x:c r="I435" s="25" t="n"/>
      <x:c r="J435" s="25" t="n"/>
      <x:c r="K435" s="25" t="n"/>
      <x:c r="L435" s="22" t="n"/>
      <x:c r="M435" s="22" t="n"/>
      <x:c r="N435" s="22" t="n"/>
      <x:c r="O435" s="22" t="n"/>
      <x:c r="P435" s="25" t="n"/>
      <x:c r="Q435" s="25" t="n"/>
      <x:c r="R435" s="25" t="n"/>
      <x:c r="S435" s="22" t="n"/>
      <x:c r="T435" s="23" t="n"/>
      <x:c r="U435" s="25" t="n"/>
      <x:c r="V435" s="25" t="n"/>
      <x:c r="W435" s="25">
        <x:f>IF(OR(AND(OR(O435="DELIVERED",O435="PARTIAL"),J435&lt;&gt;TRUE),AND(OR(E435="CASH",E435="DAY CHEQUE",E435="POST DATED CHQ"),I435&lt;&gt;TRUE),AND(OR(E435="CASH",E435="DAY CHEQUE",E435="POST DATED CHQ"),K435&lt;&gt;TRUE),AND(E435="POST DATED CHQ",ISBLANK(M435)),P435=TRUE,Q435=TRUE,AND(R435=TRUE,OR(ISBLANK(S435),ISBLANK(T435))),AND(E435="ONLINE",V435&lt;&gt;TRUE),AND(I435=TRUE,U435&lt;&gt;TRUE)),TRUE,FALSE)</x:f>
      </x:c>
      <x:c r="X435" s="22" t="n"/>
    </x:row>
    <x:row r="436">
      <x:c r="A436" s="22" t="n"/>
      <x:c r="B436" s="22" t="n"/>
      <x:c r="C436" s="22" t="n"/>
      <x:c r="D436" s="22" t="n"/>
      <x:c r="E436" s="22" t="n"/>
      <x:c r="F436" s="23" t="n"/>
      <x:c r="G436" s="23" t="n"/>
      <x:c r="H436" s="24">
        <x:f>IF(OR(ISBLANK(F436),ISBLANK(G436)),"",G436-F436)</x:f>
      </x:c>
      <x:c r="I436" s="25" t="n"/>
      <x:c r="J436" s="25" t="n"/>
      <x:c r="K436" s="25" t="n"/>
      <x:c r="L436" s="22" t="n"/>
      <x:c r="M436" s="22" t="n"/>
      <x:c r="N436" s="22" t="n"/>
      <x:c r="O436" s="22" t="n"/>
      <x:c r="P436" s="25" t="n"/>
      <x:c r="Q436" s="25" t="n"/>
      <x:c r="R436" s="25" t="n"/>
      <x:c r="S436" s="22" t="n"/>
      <x:c r="T436" s="23" t="n"/>
      <x:c r="U436" s="25" t="n"/>
      <x:c r="V436" s="25" t="n"/>
      <x:c r="W436" s="25">
        <x:f>IF(OR(AND(OR(O436="DELIVERED",O436="PARTIAL"),J436&lt;&gt;TRUE),AND(OR(E436="CASH",E436="DAY CHEQUE",E436="POST DATED CHQ"),I436&lt;&gt;TRUE),AND(OR(E436="CASH",E436="DAY CHEQUE",E436="POST DATED CHQ"),K436&lt;&gt;TRUE),AND(E436="POST DATED CHQ",ISBLANK(M436)),P436=TRUE,Q436=TRUE,AND(R436=TRUE,OR(ISBLANK(S436),ISBLANK(T436))),AND(E436="ONLINE",V436&lt;&gt;TRUE),AND(I436=TRUE,U436&lt;&gt;TRUE)),TRUE,FALSE)</x:f>
      </x:c>
      <x:c r="X436" s="22" t="n"/>
    </x:row>
    <x:row r="437">
      <x:c r="A437" s="22" t="n"/>
      <x:c r="B437" s="22" t="n"/>
      <x:c r="C437" s="22" t="n"/>
      <x:c r="D437" s="22" t="n"/>
      <x:c r="E437" s="22" t="n"/>
      <x:c r="F437" s="23" t="n"/>
      <x:c r="G437" s="23" t="n"/>
      <x:c r="H437" s="24">
        <x:f>IF(OR(ISBLANK(F437),ISBLANK(G437)),"",G437-F437)</x:f>
      </x:c>
      <x:c r="I437" s="25" t="n"/>
      <x:c r="J437" s="25" t="n"/>
      <x:c r="K437" s="25" t="n"/>
      <x:c r="L437" s="22" t="n"/>
      <x:c r="M437" s="22" t="n"/>
      <x:c r="N437" s="22" t="n"/>
      <x:c r="O437" s="22" t="n"/>
      <x:c r="P437" s="25" t="n"/>
      <x:c r="Q437" s="25" t="n"/>
      <x:c r="R437" s="25" t="n"/>
      <x:c r="S437" s="22" t="n"/>
      <x:c r="T437" s="23" t="n"/>
      <x:c r="U437" s="25" t="n"/>
      <x:c r="V437" s="25" t="n"/>
      <x:c r="W437" s="25">
        <x:f>IF(OR(AND(OR(O437="DELIVERED",O437="PARTIAL"),J437&lt;&gt;TRUE),AND(OR(E437="CASH",E437="DAY CHEQUE",E437="POST DATED CHQ"),I437&lt;&gt;TRUE),AND(OR(E437="CASH",E437="DAY CHEQUE",E437="POST DATED CHQ"),K437&lt;&gt;TRUE),AND(E437="POST DATED CHQ",ISBLANK(M437)),P437=TRUE,Q437=TRUE,AND(R437=TRUE,OR(ISBLANK(S437),ISBLANK(T437))),AND(E437="ONLINE",V437&lt;&gt;TRUE),AND(I437=TRUE,U437&lt;&gt;TRUE)),TRUE,FALSE)</x:f>
      </x:c>
      <x:c r="X437" s="22" t="n"/>
    </x:row>
    <x:row r="438">
      <x:c r="A438" s="22" t="n"/>
      <x:c r="B438" s="22" t="n"/>
      <x:c r="C438" s="22" t="n"/>
      <x:c r="D438" s="22" t="n"/>
      <x:c r="E438" s="22" t="n"/>
      <x:c r="F438" s="23" t="n"/>
      <x:c r="G438" s="23" t="n"/>
      <x:c r="H438" s="24">
        <x:f>IF(OR(ISBLANK(F438),ISBLANK(G438)),"",G438-F438)</x:f>
      </x:c>
      <x:c r="I438" s="25" t="n"/>
      <x:c r="J438" s="25" t="n"/>
      <x:c r="K438" s="25" t="n"/>
      <x:c r="L438" s="22" t="n"/>
      <x:c r="M438" s="22" t="n"/>
      <x:c r="N438" s="22" t="n"/>
      <x:c r="O438" s="22" t="n"/>
      <x:c r="P438" s="25" t="n"/>
      <x:c r="Q438" s="25" t="n"/>
      <x:c r="R438" s="25" t="n"/>
      <x:c r="S438" s="22" t="n"/>
      <x:c r="T438" s="23" t="n"/>
      <x:c r="U438" s="25" t="n"/>
      <x:c r="V438" s="25" t="n"/>
      <x:c r="W438" s="25">
        <x:f>IF(OR(AND(OR(O438="DELIVERED",O438="PARTIAL"),J438&lt;&gt;TRUE),AND(OR(E438="CASH",E438="DAY CHEQUE",E438="POST DATED CHQ"),I438&lt;&gt;TRUE),AND(OR(E438="CASH",E438="DAY CHEQUE",E438="POST DATED CHQ"),K438&lt;&gt;TRUE),AND(E438="POST DATED CHQ",ISBLANK(M438)),P438=TRUE,Q438=TRUE,AND(R438=TRUE,OR(ISBLANK(S438),ISBLANK(T438))),AND(E438="ONLINE",V438&lt;&gt;TRUE),AND(I438=TRUE,U438&lt;&gt;TRUE)),TRUE,FALSE)</x:f>
      </x:c>
      <x:c r="X438" s="22" t="n"/>
    </x:row>
    <x:row r="439">
      <x:c r="A439" s="22" t="n"/>
      <x:c r="B439" s="22" t="n"/>
      <x:c r="C439" s="22" t="n"/>
      <x:c r="D439" s="22" t="n"/>
      <x:c r="E439" s="22" t="n"/>
      <x:c r="F439" s="23" t="n"/>
      <x:c r="G439" s="23" t="n"/>
      <x:c r="H439" s="24">
        <x:f>IF(OR(ISBLANK(F439),ISBLANK(G439)),"",G439-F439)</x:f>
      </x:c>
      <x:c r="I439" s="25" t="n"/>
      <x:c r="J439" s="25" t="n"/>
      <x:c r="K439" s="25" t="n"/>
      <x:c r="L439" s="22" t="n"/>
      <x:c r="M439" s="22" t="n"/>
      <x:c r="N439" s="22" t="n"/>
      <x:c r="O439" s="22" t="n"/>
      <x:c r="P439" s="25" t="n"/>
      <x:c r="Q439" s="25" t="n"/>
      <x:c r="R439" s="25" t="n"/>
      <x:c r="S439" s="22" t="n"/>
      <x:c r="T439" s="23" t="n"/>
      <x:c r="U439" s="25" t="n"/>
      <x:c r="V439" s="25" t="n"/>
      <x:c r="W439" s="25">
        <x:f>IF(OR(AND(OR(O439="DELIVERED",O439="PARTIAL"),J439&lt;&gt;TRUE),AND(OR(E439="CASH",E439="DAY CHEQUE",E439="POST DATED CHQ"),I439&lt;&gt;TRUE),AND(OR(E439="CASH",E439="DAY CHEQUE",E439="POST DATED CHQ"),K439&lt;&gt;TRUE),AND(E439="POST DATED CHQ",ISBLANK(M439)),P439=TRUE,Q439=TRUE,AND(R439=TRUE,OR(ISBLANK(S439),ISBLANK(T439))),AND(E439="ONLINE",V439&lt;&gt;TRUE),AND(I439=TRUE,U439&lt;&gt;TRUE)),TRUE,FALSE)</x:f>
      </x:c>
      <x:c r="X439" s="22" t="n"/>
    </x:row>
    <x:row r="440">
      <x:c r="A440" s="22" t="n"/>
      <x:c r="B440" s="22" t="n"/>
      <x:c r="C440" s="22" t="n"/>
      <x:c r="D440" s="22" t="n"/>
      <x:c r="E440" s="22" t="n"/>
      <x:c r="F440" s="23" t="n"/>
      <x:c r="G440" s="23" t="n"/>
      <x:c r="H440" s="24">
        <x:f>IF(OR(ISBLANK(F440),ISBLANK(G440)),"",G440-F440)</x:f>
      </x:c>
      <x:c r="I440" s="25" t="n"/>
      <x:c r="J440" s="25" t="n"/>
      <x:c r="K440" s="25" t="n"/>
      <x:c r="L440" s="22" t="n"/>
      <x:c r="M440" s="22" t="n"/>
      <x:c r="N440" s="22" t="n"/>
      <x:c r="O440" s="22" t="n"/>
      <x:c r="P440" s="25" t="n"/>
      <x:c r="Q440" s="25" t="n"/>
      <x:c r="R440" s="25" t="n"/>
      <x:c r="S440" s="22" t="n"/>
      <x:c r="T440" s="23" t="n"/>
      <x:c r="U440" s="25" t="n"/>
      <x:c r="V440" s="25" t="n"/>
      <x:c r="W440" s="25">
        <x:f>IF(OR(AND(OR(O440="DELIVERED",O440="PARTIAL"),J440&lt;&gt;TRUE),AND(OR(E440="CASH",E440="DAY CHEQUE",E440="POST DATED CHQ"),I440&lt;&gt;TRUE),AND(OR(E440="CASH",E440="DAY CHEQUE",E440="POST DATED CHQ"),K440&lt;&gt;TRUE),AND(E440="POST DATED CHQ",ISBLANK(M440)),P440=TRUE,Q440=TRUE,AND(R440=TRUE,OR(ISBLANK(S440),ISBLANK(T440))),AND(E440="ONLINE",V440&lt;&gt;TRUE),AND(I440=TRUE,U440&lt;&gt;TRUE)),TRUE,FALSE)</x:f>
      </x:c>
      <x:c r="X440" s="22" t="n"/>
    </x:row>
    <x:row r="441">
      <x:c r="A441" s="22" t="n"/>
      <x:c r="B441" s="22" t="n"/>
      <x:c r="C441" s="22" t="n"/>
      <x:c r="D441" s="22" t="n"/>
      <x:c r="E441" s="22" t="n"/>
      <x:c r="F441" s="23" t="n"/>
      <x:c r="G441" s="23" t="n"/>
      <x:c r="H441" s="24">
        <x:f>IF(OR(ISBLANK(F441),ISBLANK(G441)),"",G441-F441)</x:f>
      </x:c>
      <x:c r="I441" s="25" t="n"/>
      <x:c r="J441" s="25" t="n"/>
      <x:c r="K441" s="25" t="n"/>
      <x:c r="L441" s="22" t="n"/>
      <x:c r="M441" s="22" t="n"/>
      <x:c r="N441" s="22" t="n"/>
      <x:c r="O441" s="22" t="n"/>
      <x:c r="P441" s="25" t="n"/>
      <x:c r="Q441" s="25" t="n"/>
      <x:c r="R441" s="25" t="n"/>
      <x:c r="S441" s="22" t="n"/>
      <x:c r="T441" s="23" t="n"/>
      <x:c r="U441" s="25" t="n"/>
      <x:c r="V441" s="25" t="n"/>
      <x:c r="W441" s="25">
        <x:f>IF(OR(AND(OR(O441="DELIVERED",O441="PARTIAL"),J441&lt;&gt;TRUE),AND(OR(E441="CASH",E441="DAY CHEQUE",E441="POST DATED CHQ"),I441&lt;&gt;TRUE),AND(OR(E441="CASH",E441="DAY CHEQUE",E441="POST DATED CHQ"),K441&lt;&gt;TRUE),AND(E441="POST DATED CHQ",ISBLANK(M441)),P441=TRUE,Q441=TRUE,AND(R441=TRUE,OR(ISBLANK(S441),ISBLANK(T441))),AND(E441="ONLINE",V441&lt;&gt;TRUE),AND(I441=TRUE,U441&lt;&gt;TRUE)),TRUE,FALSE)</x:f>
      </x:c>
      <x:c r="X441" s="22" t="n"/>
    </x:row>
    <x:row r="442">
      <x:c r="A442" s="22" t="n"/>
      <x:c r="B442" s="22" t="n"/>
      <x:c r="C442" s="22" t="n"/>
      <x:c r="D442" s="22" t="n"/>
      <x:c r="E442" s="22" t="n"/>
      <x:c r="F442" s="23" t="n"/>
      <x:c r="G442" s="23" t="n"/>
      <x:c r="H442" s="24">
        <x:f>IF(OR(ISBLANK(F442),ISBLANK(G442)),"",G442-F442)</x:f>
      </x:c>
      <x:c r="I442" s="25" t="n"/>
      <x:c r="J442" s="25" t="n"/>
      <x:c r="K442" s="25" t="n"/>
      <x:c r="L442" s="22" t="n"/>
      <x:c r="M442" s="22" t="n"/>
      <x:c r="N442" s="22" t="n"/>
      <x:c r="O442" s="22" t="n"/>
      <x:c r="P442" s="25" t="n"/>
      <x:c r="Q442" s="25" t="n"/>
      <x:c r="R442" s="25" t="n"/>
      <x:c r="S442" s="22" t="n"/>
      <x:c r="T442" s="23" t="n"/>
      <x:c r="U442" s="25" t="n"/>
      <x:c r="V442" s="25" t="n"/>
      <x:c r="W442" s="25">
        <x:f>IF(OR(AND(OR(O442="DELIVERED",O442="PARTIAL"),J442&lt;&gt;TRUE),AND(OR(E442="CASH",E442="DAY CHEQUE",E442="POST DATED CHQ"),I442&lt;&gt;TRUE),AND(OR(E442="CASH",E442="DAY CHEQUE",E442="POST DATED CHQ"),K442&lt;&gt;TRUE),AND(E442="POST DATED CHQ",ISBLANK(M442)),P442=TRUE,Q442=TRUE,AND(R442=TRUE,OR(ISBLANK(S442),ISBLANK(T442))),AND(E442="ONLINE",V442&lt;&gt;TRUE),AND(I442=TRUE,U442&lt;&gt;TRUE)),TRUE,FALSE)</x:f>
      </x:c>
      <x:c r="X442" s="22" t="n"/>
    </x:row>
    <x:row r="443">
      <x:c r="A443" s="22" t="n"/>
      <x:c r="B443" s="22" t="n"/>
      <x:c r="C443" s="22" t="n"/>
      <x:c r="D443" s="22" t="n"/>
      <x:c r="E443" s="22" t="n"/>
      <x:c r="F443" s="23" t="n"/>
      <x:c r="G443" s="23" t="n"/>
      <x:c r="H443" s="24">
        <x:f>IF(OR(ISBLANK(F443),ISBLANK(G443)),"",G443-F443)</x:f>
      </x:c>
      <x:c r="I443" s="25" t="n"/>
      <x:c r="J443" s="25" t="n"/>
      <x:c r="K443" s="25" t="n"/>
      <x:c r="L443" s="22" t="n"/>
      <x:c r="M443" s="22" t="n"/>
      <x:c r="N443" s="22" t="n"/>
      <x:c r="O443" s="22" t="n"/>
      <x:c r="P443" s="25" t="n"/>
      <x:c r="Q443" s="25" t="n"/>
      <x:c r="R443" s="25" t="n"/>
      <x:c r="S443" s="22" t="n"/>
      <x:c r="T443" s="23" t="n"/>
      <x:c r="U443" s="25" t="n"/>
      <x:c r="V443" s="25" t="n"/>
      <x:c r="W443" s="25">
        <x:f>IF(OR(AND(OR(O443="DELIVERED",O443="PARTIAL"),J443&lt;&gt;TRUE),AND(OR(E443="CASH",E443="DAY CHEQUE",E443="POST DATED CHQ"),I443&lt;&gt;TRUE),AND(OR(E443="CASH",E443="DAY CHEQUE",E443="POST DATED CHQ"),K443&lt;&gt;TRUE),AND(E443="POST DATED CHQ",ISBLANK(M443)),P443=TRUE,Q443=TRUE,AND(R443=TRUE,OR(ISBLANK(S443),ISBLANK(T443))),AND(E443="ONLINE",V443&lt;&gt;TRUE),AND(I443=TRUE,U443&lt;&gt;TRUE)),TRUE,FALSE)</x:f>
      </x:c>
      <x:c r="X443" s="22" t="n"/>
    </x:row>
    <x:row r="444">
      <x:c r="A444" s="22" t="n"/>
      <x:c r="B444" s="22" t="n"/>
      <x:c r="C444" s="22" t="n"/>
      <x:c r="D444" s="22" t="n"/>
      <x:c r="E444" s="22" t="n"/>
      <x:c r="F444" s="23" t="n"/>
      <x:c r="G444" s="23" t="n"/>
      <x:c r="H444" s="24">
        <x:f>IF(OR(ISBLANK(F444),ISBLANK(G444)),"",G444-F444)</x:f>
      </x:c>
      <x:c r="I444" s="25" t="n"/>
      <x:c r="J444" s="25" t="n"/>
      <x:c r="K444" s="25" t="n"/>
      <x:c r="L444" s="22" t="n"/>
      <x:c r="M444" s="22" t="n"/>
      <x:c r="N444" s="22" t="n"/>
      <x:c r="O444" s="22" t="n"/>
      <x:c r="P444" s="25" t="n"/>
      <x:c r="Q444" s="25" t="n"/>
      <x:c r="R444" s="25" t="n"/>
      <x:c r="S444" s="22" t="n"/>
      <x:c r="T444" s="23" t="n"/>
      <x:c r="U444" s="25" t="n"/>
      <x:c r="V444" s="25" t="n"/>
      <x:c r="W444" s="25">
        <x:f>IF(OR(AND(OR(O444="DELIVERED",O444="PARTIAL"),J444&lt;&gt;TRUE),AND(OR(E444="CASH",E444="DAY CHEQUE",E444="POST DATED CHQ"),I444&lt;&gt;TRUE),AND(OR(E444="CASH",E444="DAY CHEQUE",E444="POST DATED CHQ"),K444&lt;&gt;TRUE),AND(E444="POST DATED CHQ",ISBLANK(M444)),P444=TRUE,Q444=TRUE,AND(R444=TRUE,OR(ISBLANK(S444),ISBLANK(T444))),AND(E444="ONLINE",V444&lt;&gt;TRUE),AND(I444=TRUE,U444&lt;&gt;TRUE)),TRUE,FALSE)</x:f>
      </x:c>
      <x:c r="X444" s="22" t="n"/>
    </x:row>
    <x:row r="445">
      <x:c r="A445" s="22" t="n"/>
      <x:c r="B445" s="22" t="n"/>
      <x:c r="C445" s="22" t="n"/>
      <x:c r="D445" s="22" t="n"/>
      <x:c r="E445" s="22" t="n"/>
      <x:c r="F445" s="23" t="n"/>
      <x:c r="G445" s="23" t="n"/>
      <x:c r="H445" s="24">
        <x:f>IF(OR(ISBLANK(F445),ISBLANK(G445)),"",G445-F445)</x:f>
      </x:c>
      <x:c r="I445" s="25" t="n"/>
      <x:c r="J445" s="25" t="n"/>
      <x:c r="K445" s="25" t="n"/>
      <x:c r="L445" s="22" t="n"/>
      <x:c r="M445" s="22" t="n"/>
      <x:c r="N445" s="22" t="n"/>
      <x:c r="O445" s="22" t="n"/>
      <x:c r="P445" s="25" t="n"/>
      <x:c r="Q445" s="25" t="n"/>
      <x:c r="R445" s="25" t="n"/>
      <x:c r="S445" s="22" t="n"/>
      <x:c r="T445" s="23" t="n"/>
      <x:c r="U445" s="25" t="n"/>
      <x:c r="V445" s="25" t="n"/>
      <x:c r="W445" s="25">
        <x:f>IF(OR(AND(OR(O445="DELIVERED",O445="PARTIAL"),J445&lt;&gt;TRUE),AND(OR(E445="CASH",E445="DAY CHEQUE",E445="POST DATED CHQ"),I445&lt;&gt;TRUE),AND(OR(E445="CASH",E445="DAY CHEQUE",E445="POST DATED CHQ"),K445&lt;&gt;TRUE),AND(E445="POST DATED CHQ",ISBLANK(M445)),P445=TRUE,Q445=TRUE,AND(R445=TRUE,OR(ISBLANK(S445),ISBLANK(T445))),AND(E445="ONLINE",V445&lt;&gt;TRUE),AND(I445=TRUE,U445&lt;&gt;TRUE)),TRUE,FALSE)</x:f>
      </x:c>
      <x:c r="X445" s="22" t="n"/>
    </x:row>
    <x:row r="446">
      <x:c r="A446" s="22" t="n"/>
      <x:c r="B446" s="22" t="n"/>
      <x:c r="C446" s="22" t="n"/>
      <x:c r="D446" s="22" t="n"/>
      <x:c r="E446" s="22" t="n"/>
      <x:c r="F446" s="23" t="n"/>
      <x:c r="G446" s="23" t="n"/>
      <x:c r="H446" s="24">
        <x:f>IF(OR(ISBLANK(F446),ISBLANK(G446)),"",G446-F446)</x:f>
      </x:c>
      <x:c r="I446" s="25" t="n"/>
      <x:c r="J446" s="25" t="n"/>
      <x:c r="K446" s="25" t="n"/>
      <x:c r="L446" s="22" t="n"/>
      <x:c r="M446" s="22" t="n"/>
      <x:c r="N446" s="22" t="n"/>
      <x:c r="O446" s="22" t="n"/>
      <x:c r="P446" s="25" t="n"/>
      <x:c r="Q446" s="25" t="n"/>
      <x:c r="R446" s="25" t="n"/>
      <x:c r="S446" s="22" t="n"/>
      <x:c r="T446" s="23" t="n"/>
      <x:c r="U446" s="25" t="n"/>
      <x:c r="V446" s="25" t="n"/>
      <x:c r="W446" s="25">
        <x:f>IF(OR(AND(OR(O446="DELIVERED",O446="PARTIAL"),J446&lt;&gt;TRUE),AND(OR(E446="CASH",E446="DAY CHEQUE",E446="POST DATED CHQ"),I446&lt;&gt;TRUE),AND(OR(E446="CASH",E446="DAY CHEQUE",E446="POST DATED CHQ"),K446&lt;&gt;TRUE),AND(E446="POST DATED CHQ",ISBLANK(M446)),P446=TRUE,Q446=TRUE,AND(R446=TRUE,OR(ISBLANK(S446),ISBLANK(T446))),AND(E446="ONLINE",V446&lt;&gt;TRUE),AND(I446=TRUE,U446&lt;&gt;TRUE)),TRUE,FALSE)</x:f>
      </x:c>
      <x:c r="X446" s="22" t="n"/>
    </x:row>
    <x:row r="447">
      <x:c r="A447" s="22" t="n"/>
      <x:c r="B447" s="22" t="n"/>
      <x:c r="C447" s="22" t="n"/>
      <x:c r="D447" s="22" t="n"/>
      <x:c r="E447" s="22" t="n"/>
      <x:c r="F447" s="23" t="n"/>
      <x:c r="G447" s="23" t="n"/>
      <x:c r="H447" s="24">
        <x:f>IF(OR(ISBLANK(F447),ISBLANK(G447)),"",G447-F447)</x:f>
      </x:c>
      <x:c r="I447" s="25" t="n"/>
      <x:c r="J447" s="25" t="n"/>
      <x:c r="K447" s="25" t="n"/>
      <x:c r="L447" s="22" t="n"/>
      <x:c r="M447" s="22" t="n"/>
      <x:c r="N447" s="22" t="n"/>
      <x:c r="O447" s="22" t="n"/>
      <x:c r="P447" s="25" t="n"/>
      <x:c r="Q447" s="25" t="n"/>
      <x:c r="R447" s="25" t="n"/>
      <x:c r="S447" s="22" t="n"/>
      <x:c r="T447" s="23" t="n"/>
      <x:c r="U447" s="25" t="n"/>
      <x:c r="V447" s="25" t="n"/>
      <x:c r="W447" s="25">
        <x:f>IF(OR(AND(OR(O447="DELIVERED",O447="PARTIAL"),J447&lt;&gt;TRUE),AND(OR(E447="CASH",E447="DAY CHEQUE",E447="POST DATED CHQ"),I447&lt;&gt;TRUE),AND(OR(E447="CASH",E447="DAY CHEQUE",E447="POST DATED CHQ"),K447&lt;&gt;TRUE),AND(E447="POST DATED CHQ",ISBLANK(M447)),P447=TRUE,Q447=TRUE,AND(R447=TRUE,OR(ISBLANK(S447),ISBLANK(T447))),AND(E447="ONLINE",V447&lt;&gt;TRUE),AND(I447=TRUE,U447&lt;&gt;TRUE)),TRUE,FALSE)</x:f>
      </x:c>
      <x:c r="X447" s="22" t="n"/>
    </x:row>
    <x:row r="448">
      <x:c r="A448" s="22" t="n"/>
      <x:c r="B448" s="22" t="n"/>
      <x:c r="C448" s="22" t="n"/>
      <x:c r="D448" s="22" t="n"/>
      <x:c r="E448" s="22" t="n"/>
      <x:c r="F448" s="23" t="n"/>
      <x:c r="G448" s="23" t="n"/>
      <x:c r="H448" s="24">
        <x:f>IF(OR(ISBLANK(F448),ISBLANK(G448)),"",G448-F448)</x:f>
      </x:c>
      <x:c r="I448" s="25" t="n"/>
      <x:c r="J448" s="25" t="n"/>
      <x:c r="K448" s="25" t="n"/>
      <x:c r="L448" s="22" t="n"/>
      <x:c r="M448" s="22" t="n"/>
      <x:c r="N448" s="22" t="n"/>
      <x:c r="O448" s="22" t="n"/>
      <x:c r="P448" s="25" t="n"/>
      <x:c r="Q448" s="25" t="n"/>
      <x:c r="R448" s="25" t="n"/>
      <x:c r="S448" s="22" t="n"/>
      <x:c r="T448" s="23" t="n"/>
      <x:c r="U448" s="25" t="n"/>
      <x:c r="V448" s="25" t="n"/>
      <x:c r="W448" s="25">
        <x:f>IF(OR(AND(OR(O448="DELIVERED",O448="PARTIAL"),J448&lt;&gt;TRUE),AND(OR(E448="CASH",E448="DAY CHEQUE",E448="POST DATED CHQ"),I448&lt;&gt;TRUE),AND(OR(E448="CASH",E448="DAY CHEQUE",E448="POST DATED CHQ"),K448&lt;&gt;TRUE),AND(E448="POST DATED CHQ",ISBLANK(M448)),P448=TRUE,Q448=TRUE,AND(R448=TRUE,OR(ISBLANK(S448),ISBLANK(T448))),AND(E448="ONLINE",V448&lt;&gt;TRUE),AND(I448=TRUE,U448&lt;&gt;TRUE)),TRUE,FALSE)</x:f>
      </x:c>
      <x:c r="X448" s="22" t="n"/>
    </x:row>
    <x:row r="449">
      <x:c r="A449" s="22" t="n"/>
      <x:c r="B449" s="22" t="n"/>
      <x:c r="C449" s="22" t="n"/>
      <x:c r="D449" s="22" t="n"/>
      <x:c r="E449" s="22" t="n"/>
      <x:c r="F449" s="23" t="n"/>
      <x:c r="G449" s="23" t="n"/>
      <x:c r="H449" s="24">
        <x:f>IF(OR(ISBLANK(F449),ISBLANK(G449)),"",G449-F449)</x:f>
      </x:c>
      <x:c r="I449" s="25" t="n"/>
      <x:c r="J449" s="25" t="n"/>
      <x:c r="K449" s="25" t="n"/>
      <x:c r="L449" s="22" t="n"/>
      <x:c r="M449" s="22" t="n"/>
      <x:c r="N449" s="22" t="n"/>
      <x:c r="O449" s="22" t="n"/>
      <x:c r="P449" s="25" t="n"/>
      <x:c r="Q449" s="25" t="n"/>
      <x:c r="R449" s="25" t="n"/>
      <x:c r="S449" s="22" t="n"/>
      <x:c r="T449" s="23" t="n"/>
      <x:c r="U449" s="25" t="n"/>
      <x:c r="V449" s="25" t="n"/>
      <x:c r="W449" s="25">
        <x:f>IF(OR(AND(OR(O449="DELIVERED",O449="PARTIAL"),J449&lt;&gt;TRUE),AND(OR(E449="CASH",E449="DAY CHEQUE",E449="POST DATED CHQ"),I449&lt;&gt;TRUE),AND(OR(E449="CASH",E449="DAY CHEQUE",E449="POST DATED CHQ"),K449&lt;&gt;TRUE),AND(E449="POST DATED CHQ",ISBLANK(M449)),P449=TRUE,Q449=TRUE,AND(R449=TRUE,OR(ISBLANK(S449),ISBLANK(T449))),AND(E449="ONLINE",V449&lt;&gt;TRUE),AND(I449=TRUE,U449&lt;&gt;TRUE)),TRUE,FALSE)</x:f>
      </x:c>
      <x:c r="X449" s="22" t="n"/>
    </x:row>
    <x:row r="450">
      <x:c r="A450" s="22" t="n"/>
      <x:c r="B450" s="22" t="n"/>
      <x:c r="C450" s="22" t="n"/>
      <x:c r="D450" s="22" t="n"/>
      <x:c r="E450" s="22" t="n"/>
      <x:c r="F450" s="23" t="n"/>
      <x:c r="G450" s="23" t="n"/>
      <x:c r="H450" s="24">
        <x:f>IF(OR(ISBLANK(F450),ISBLANK(G450)),"",G450-F450)</x:f>
      </x:c>
      <x:c r="I450" s="25" t="n"/>
      <x:c r="J450" s="25" t="n"/>
      <x:c r="K450" s="25" t="n"/>
      <x:c r="L450" s="22" t="n"/>
      <x:c r="M450" s="22" t="n"/>
      <x:c r="N450" s="22" t="n"/>
      <x:c r="O450" s="22" t="n"/>
      <x:c r="P450" s="25" t="n"/>
      <x:c r="Q450" s="25" t="n"/>
      <x:c r="R450" s="25" t="n"/>
      <x:c r="S450" s="22" t="n"/>
      <x:c r="T450" s="23" t="n"/>
      <x:c r="U450" s="25" t="n"/>
      <x:c r="V450" s="25" t="n"/>
      <x:c r="W450" s="25">
        <x:f>IF(OR(AND(OR(O450="DELIVERED",O450="PARTIAL"),J450&lt;&gt;TRUE),AND(OR(E450="CASH",E450="DAY CHEQUE",E450="POST DATED CHQ"),I450&lt;&gt;TRUE),AND(OR(E450="CASH",E450="DAY CHEQUE",E450="POST DATED CHQ"),K450&lt;&gt;TRUE),AND(E450="POST DATED CHQ",ISBLANK(M450)),P450=TRUE,Q450=TRUE,AND(R450=TRUE,OR(ISBLANK(S450),ISBLANK(T450))),AND(E450="ONLINE",V450&lt;&gt;TRUE),AND(I450=TRUE,U450&lt;&gt;TRUE)),TRUE,FALSE)</x:f>
      </x:c>
      <x:c r="X450" s="22" t="n"/>
    </x:row>
    <x:row r="451">
      <x:c r="A451" s="22" t="n"/>
      <x:c r="B451" s="22" t="n"/>
      <x:c r="C451" s="22" t="n"/>
      <x:c r="D451" s="22" t="n"/>
      <x:c r="E451" s="22" t="n"/>
      <x:c r="F451" s="23" t="n"/>
      <x:c r="G451" s="23" t="n"/>
      <x:c r="H451" s="24">
        <x:f>IF(OR(ISBLANK(F451),ISBLANK(G451)),"",G451-F451)</x:f>
      </x:c>
      <x:c r="I451" s="25" t="n"/>
      <x:c r="J451" s="25" t="n"/>
      <x:c r="K451" s="25" t="n"/>
      <x:c r="L451" s="22" t="n"/>
      <x:c r="M451" s="22" t="n"/>
      <x:c r="N451" s="22" t="n"/>
      <x:c r="O451" s="22" t="n"/>
      <x:c r="P451" s="25" t="n"/>
      <x:c r="Q451" s="25" t="n"/>
      <x:c r="R451" s="25" t="n"/>
      <x:c r="S451" s="22" t="n"/>
      <x:c r="T451" s="23" t="n"/>
      <x:c r="U451" s="25" t="n"/>
      <x:c r="V451" s="25" t="n"/>
      <x:c r="W451" s="25">
        <x:f>IF(OR(AND(OR(O451="DELIVERED",O451="PARTIAL"),J451&lt;&gt;TRUE),AND(OR(E451="CASH",E451="DAY CHEQUE",E451="POST DATED CHQ"),I451&lt;&gt;TRUE),AND(OR(E451="CASH",E451="DAY CHEQUE",E451="POST DATED CHQ"),K451&lt;&gt;TRUE),AND(E451="POST DATED CHQ",ISBLANK(M451)),P451=TRUE,Q451=TRUE,AND(R451=TRUE,OR(ISBLANK(S451),ISBLANK(T451))),AND(E451="ONLINE",V451&lt;&gt;TRUE),AND(I451=TRUE,U451&lt;&gt;TRUE)),TRUE,FALSE)</x:f>
      </x:c>
      <x:c r="X451" s="22" t="n"/>
    </x:row>
    <x:row r="452">
      <x:c r="A452" s="22" t="n"/>
      <x:c r="B452" s="22" t="n"/>
      <x:c r="C452" s="22" t="n"/>
      <x:c r="D452" s="22" t="n"/>
      <x:c r="E452" s="22" t="n"/>
      <x:c r="F452" s="23" t="n"/>
      <x:c r="G452" s="23" t="n"/>
      <x:c r="H452" s="24">
        <x:f>IF(OR(ISBLANK(F452),ISBLANK(G452)),"",G452-F452)</x:f>
      </x:c>
      <x:c r="I452" s="25" t="n"/>
      <x:c r="J452" s="25" t="n"/>
      <x:c r="K452" s="25" t="n"/>
      <x:c r="L452" s="22" t="n"/>
      <x:c r="M452" s="22" t="n"/>
      <x:c r="N452" s="22" t="n"/>
      <x:c r="O452" s="22" t="n"/>
      <x:c r="P452" s="25" t="n"/>
      <x:c r="Q452" s="25" t="n"/>
      <x:c r="R452" s="25" t="n"/>
      <x:c r="S452" s="22" t="n"/>
      <x:c r="T452" s="23" t="n"/>
      <x:c r="U452" s="25" t="n"/>
      <x:c r="V452" s="25" t="n"/>
      <x:c r="W452" s="25">
        <x:f>IF(OR(AND(OR(O452="DELIVERED",O452="PARTIAL"),J452&lt;&gt;TRUE),AND(OR(E452="CASH",E452="DAY CHEQUE",E452="POST DATED CHQ"),I452&lt;&gt;TRUE),AND(OR(E452="CASH",E452="DAY CHEQUE",E452="POST DATED CHQ"),K452&lt;&gt;TRUE),AND(E452="POST DATED CHQ",ISBLANK(M452)),P452=TRUE,Q452=TRUE,AND(R452=TRUE,OR(ISBLANK(S452),ISBLANK(T452))),AND(E452="ONLINE",V452&lt;&gt;TRUE),AND(I452=TRUE,U452&lt;&gt;TRUE)),TRUE,FALSE)</x:f>
      </x:c>
      <x:c r="X452" s="22" t="n"/>
    </x:row>
    <x:row r="453">
      <x:c r="A453" s="22" t="n"/>
      <x:c r="B453" s="22" t="n"/>
      <x:c r="C453" s="22" t="n"/>
      <x:c r="D453" s="22" t="n"/>
      <x:c r="E453" s="22" t="n"/>
      <x:c r="F453" s="23" t="n"/>
      <x:c r="G453" s="23" t="n"/>
      <x:c r="H453" s="24">
        <x:f>IF(OR(ISBLANK(F453),ISBLANK(G453)),"",G453-F453)</x:f>
      </x:c>
      <x:c r="I453" s="25" t="n"/>
      <x:c r="J453" s="25" t="n"/>
      <x:c r="K453" s="25" t="n"/>
      <x:c r="L453" s="22" t="n"/>
      <x:c r="M453" s="22" t="n"/>
      <x:c r="N453" s="22" t="n"/>
      <x:c r="O453" s="22" t="n"/>
      <x:c r="P453" s="25" t="n"/>
      <x:c r="Q453" s="25" t="n"/>
      <x:c r="R453" s="25" t="n"/>
      <x:c r="S453" s="22" t="n"/>
      <x:c r="T453" s="23" t="n"/>
      <x:c r="U453" s="25" t="n"/>
      <x:c r="V453" s="25" t="n"/>
      <x:c r="W453" s="25">
        <x:f>IF(OR(AND(OR(O453="DELIVERED",O453="PARTIAL"),J453&lt;&gt;TRUE),AND(OR(E453="CASH",E453="DAY CHEQUE",E453="POST DATED CHQ"),I453&lt;&gt;TRUE),AND(OR(E453="CASH",E453="DAY CHEQUE",E453="POST DATED CHQ"),K453&lt;&gt;TRUE),AND(E453="POST DATED CHQ",ISBLANK(M453)),P453=TRUE,Q453=TRUE,AND(R453=TRUE,OR(ISBLANK(S453),ISBLANK(T453))),AND(E453="ONLINE",V453&lt;&gt;TRUE),AND(I453=TRUE,U453&lt;&gt;TRUE)),TRUE,FALSE)</x:f>
      </x:c>
      <x:c r="X453" s="22" t="n"/>
    </x:row>
    <x:row r="454">
      <x:c r="A454" s="22" t="n"/>
      <x:c r="B454" s="22" t="n"/>
      <x:c r="C454" s="22" t="n"/>
      <x:c r="D454" s="22" t="n"/>
      <x:c r="E454" s="22" t="n"/>
      <x:c r="F454" s="23" t="n"/>
      <x:c r="G454" s="23" t="n"/>
      <x:c r="H454" s="24">
        <x:f>IF(OR(ISBLANK(F454),ISBLANK(G454)),"",G454-F454)</x:f>
      </x:c>
      <x:c r="I454" s="25" t="n"/>
      <x:c r="J454" s="25" t="n"/>
      <x:c r="K454" s="25" t="n"/>
      <x:c r="L454" s="22" t="n"/>
      <x:c r="M454" s="22" t="n"/>
      <x:c r="N454" s="22" t="n"/>
      <x:c r="O454" s="22" t="n"/>
      <x:c r="P454" s="25" t="n"/>
      <x:c r="Q454" s="25" t="n"/>
      <x:c r="R454" s="25" t="n"/>
      <x:c r="S454" s="22" t="n"/>
      <x:c r="T454" s="23" t="n"/>
      <x:c r="U454" s="25" t="n"/>
      <x:c r="V454" s="25" t="n"/>
      <x:c r="W454" s="25">
        <x:f>IF(OR(AND(OR(O454="DELIVERED",O454="PARTIAL"),J454&lt;&gt;TRUE),AND(OR(E454="CASH",E454="DAY CHEQUE",E454="POST DATED CHQ"),I454&lt;&gt;TRUE),AND(OR(E454="CASH",E454="DAY CHEQUE",E454="POST DATED CHQ"),K454&lt;&gt;TRUE),AND(E454="POST DATED CHQ",ISBLANK(M454)),P454=TRUE,Q454=TRUE,AND(R454=TRUE,OR(ISBLANK(S454),ISBLANK(T454))),AND(E454="ONLINE",V454&lt;&gt;TRUE),AND(I454=TRUE,U454&lt;&gt;TRUE)),TRUE,FALSE)</x:f>
      </x:c>
      <x:c r="X454" s="22" t="n"/>
    </x:row>
    <x:row r="455">
      <x:c r="A455" s="22" t="n"/>
      <x:c r="B455" s="22" t="n"/>
      <x:c r="C455" s="22" t="n"/>
      <x:c r="D455" s="22" t="n"/>
      <x:c r="E455" s="22" t="n"/>
      <x:c r="F455" s="23" t="n"/>
      <x:c r="G455" s="23" t="n"/>
      <x:c r="H455" s="24">
        <x:f>IF(OR(ISBLANK(F455),ISBLANK(G455)),"",G455-F455)</x:f>
      </x:c>
      <x:c r="I455" s="25" t="n"/>
      <x:c r="J455" s="25" t="n"/>
      <x:c r="K455" s="25" t="n"/>
      <x:c r="L455" s="22" t="n"/>
      <x:c r="M455" s="22" t="n"/>
      <x:c r="N455" s="22" t="n"/>
      <x:c r="O455" s="22" t="n"/>
      <x:c r="P455" s="25" t="n"/>
      <x:c r="Q455" s="25" t="n"/>
      <x:c r="R455" s="25" t="n"/>
      <x:c r="S455" s="22" t="n"/>
      <x:c r="T455" s="23" t="n"/>
      <x:c r="U455" s="25" t="n"/>
      <x:c r="V455" s="25" t="n"/>
      <x:c r="W455" s="25">
        <x:f>IF(OR(AND(OR(O455="DELIVERED",O455="PARTIAL"),J455&lt;&gt;TRUE),AND(OR(E455="CASH",E455="DAY CHEQUE",E455="POST DATED CHQ"),I455&lt;&gt;TRUE),AND(OR(E455="CASH",E455="DAY CHEQUE",E455="POST DATED CHQ"),K455&lt;&gt;TRUE),AND(E455="POST DATED CHQ",ISBLANK(M455)),P455=TRUE,Q455=TRUE,AND(R455=TRUE,OR(ISBLANK(S455),ISBLANK(T455))),AND(E455="ONLINE",V455&lt;&gt;TRUE),AND(I455=TRUE,U455&lt;&gt;TRUE)),TRUE,FALSE)</x:f>
      </x:c>
      <x:c r="X455" s="22" t="n"/>
    </x:row>
    <x:row r="456">
      <x:c r="A456" s="22" t="n"/>
      <x:c r="B456" s="22" t="n"/>
      <x:c r="C456" s="22" t="n"/>
      <x:c r="D456" s="22" t="n"/>
      <x:c r="E456" s="22" t="n"/>
      <x:c r="F456" s="23" t="n"/>
      <x:c r="G456" s="23" t="n"/>
      <x:c r="H456" s="24">
        <x:f>IF(OR(ISBLANK(F456),ISBLANK(G456)),"",G456-F456)</x:f>
      </x:c>
      <x:c r="I456" s="25" t="n"/>
      <x:c r="J456" s="25" t="n"/>
      <x:c r="K456" s="25" t="n"/>
      <x:c r="L456" s="22" t="n"/>
      <x:c r="M456" s="22" t="n"/>
      <x:c r="N456" s="22" t="n"/>
      <x:c r="O456" s="22" t="n"/>
      <x:c r="P456" s="25" t="n"/>
      <x:c r="Q456" s="25" t="n"/>
      <x:c r="R456" s="25" t="n"/>
      <x:c r="S456" s="22" t="n"/>
      <x:c r="T456" s="23" t="n"/>
      <x:c r="U456" s="25" t="n"/>
      <x:c r="V456" s="25" t="n"/>
      <x:c r="W456" s="25">
        <x:f>IF(OR(AND(OR(O456="DELIVERED",O456="PARTIAL"),J456&lt;&gt;TRUE),AND(OR(E456="CASH",E456="DAY CHEQUE",E456="POST DATED CHQ"),I456&lt;&gt;TRUE),AND(OR(E456="CASH",E456="DAY CHEQUE",E456="POST DATED CHQ"),K456&lt;&gt;TRUE),AND(E456="POST DATED CHQ",ISBLANK(M456)),P456=TRUE,Q456=TRUE,AND(R456=TRUE,OR(ISBLANK(S456),ISBLANK(T456))),AND(E456="ONLINE",V456&lt;&gt;TRUE),AND(I456=TRUE,U456&lt;&gt;TRUE)),TRUE,FALSE)</x:f>
      </x:c>
      <x:c r="X456" s="22" t="n"/>
    </x:row>
    <x:row r="457">
      <x:c r="A457" s="22" t="n"/>
      <x:c r="B457" s="22" t="n"/>
      <x:c r="C457" s="22" t="n"/>
      <x:c r="D457" s="22" t="n"/>
      <x:c r="E457" s="22" t="n"/>
      <x:c r="F457" s="23" t="n"/>
      <x:c r="G457" s="23" t="n"/>
      <x:c r="H457" s="24">
        <x:f>IF(OR(ISBLANK(F457),ISBLANK(G457)),"",G457-F457)</x:f>
      </x:c>
      <x:c r="I457" s="25" t="n"/>
      <x:c r="J457" s="25" t="n"/>
      <x:c r="K457" s="25" t="n"/>
      <x:c r="L457" s="22" t="n"/>
      <x:c r="M457" s="22" t="n"/>
      <x:c r="N457" s="22" t="n"/>
      <x:c r="O457" s="22" t="n"/>
      <x:c r="P457" s="25" t="n"/>
      <x:c r="Q457" s="25" t="n"/>
      <x:c r="R457" s="25" t="n"/>
      <x:c r="S457" s="22" t="n"/>
      <x:c r="T457" s="23" t="n"/>
      <x:c r="U457" s="25" t="n"/>
      <x:c r="V457" s="25" t="n"/>
      <x:c r="W457" s="25">
        <x:f>IF(OR(AND(OR(O457="DELIVERED",O457="PARTIAL"),J457&lt;&gt;TRUE),AND(OR(E457="CASH",E457="DAY CHEQUE",E457="POST DATED CHQ"),I457&lt;&gt;TRUE),AND(OR(E457="CASH",E457="DAY CHEQUE",E457="POST DATED CHQ"),K457&lt;&gt;TRUE),AND(E457="POST DATED CHQ",ISBLANK(M457)),P457=TRUE,Q457=TRUE,AND(R457=TRUE,OR(ISBLANK(S457),ISBLANK(T457))),AND(E457="ONLINE",V457&lt;&gt;TRUE),AND(I457=TRUE,U457&lt;&gt;TRUE)),TRUE,FALSE)</x:f>
      </x:c>
      <x:c r="X457" s="22" t="n"/>
    </x:row>
    <x:row r="458">
      <x:c r="A458" s="22" t="n"/>
      <x:c r="B458" s="22" t="n"/>
      <x:c r="C458" s="22" t="n"/>
      <x:c r="D458" s="22" t="n"/>
      <x:c r="E458" s="22" t="n"/>
      <x:c r="F458" s="23" t="n"/>
      <x:c r="G458" s="23" t="n"/>
      <x:c r="H458" s="24">
        <x:f>IF(OR(ISBLANK(F458),ISBLANK(G458)),"",G458-F458)</x:f>
      </x:c>
      <x:c r="I458" s="25" t="n"/>
      <x:c r="J458" s="25" t="n"/>
      <x:c r="K458" s="25" t="n"/>
      <x:c r="L458" s="22" t="n"/>
      <x:c r="M458" s="22" t="n"/>
      <x:c r="N458" s="22" t="n"/>
      <x:c r="O458" s="22" t="n"/>
      <x:c r="P458" s="25" t="n"/>
      <x:c r="Q458" s="25" t="n"/>
      <x:c r="R458" s="25" t="n"/>
      <x:c r="S458" s="22" t="n"/>
      <x:c r="T458" s="23" t="n"/>
      <x:c r="U458" s="25" t="n"/>
      <x:c r="V458" s="25" t="n"/>
      <x:c r="W458" s="25">
        <x:f>IF(OR(AND(OR(O458="DELIVERED",O458="PARTIAL"),J458&lt;&gt;TRUE),AND(OR(E458="CASH",E458="DAY CHEQUE",E458="POST DATED CHQ"),I458&lt;&gt;TRUE),AND(OR(E458="CASH",E458="DAY CHEQUE",E458="POST DATED CHQ"),K458&lt;&gt;TRUE),AND(E458="POST DATED CHQ",ISBLANK(M458)),P458=TRUE,Q458=TRUE,AND(R458=TRUE,OR(ISBLANK(S458),ISBLANK(T458))),AND(E458="ONLINE",V458&lt;&gt;TRUE),AND(I458=TRUE,U458&lt;&gt;TRUE)),TRUE,FALSE)</x:f>
      </x:c>
      <x:c r="X458" s="22" t="n"/>
    </x:row>
    <x:row r="459">
      <x:c r="A459" s="22" t="n"/>
      <x:c r="B459" s="22" t="n"/>
      <x:c r="C459" s="22" t="n"/>
      <x:c r="D459" s="22" t="n"/>
      <x:c r="E459" s="22" t="n"/>
      <x:c r="F459" s="23" t="n"/>
      <x:c r="G459" s="23" t="n"/>
      <x:c r="H459" s="24">
        <x:f>IF(OR(ISBLANK(F459),ISBLANK(G459)),"",G459-F459)</x:f>
      </x:c>
      <x:c r="I459" s="25" t="n"/>
      <x:c r="J459" s="25" t="n"/>
      <x:c r="K459" s="25" t="n"/>
      <x:c r="L459" s="22" t="n"/>
      <x:c r="M459" s="22" t="n"/>
      <x:c r="N459" s="22" t="n"/>
      <x:c r="O459" s="22" t="n"/>
      <x:c r="P459" s="25" t="n"/>
      <x:c r="Q459" s="25" t="n"/>
      <x:c r="R459" s="25" t="n"/>
      <x:c r="S459" s="22" t="n"/>
      <x:c r="T459" s="23" t="n"/>
      <x:c r="U459" s="25" t="n"/>
      <x:c r="V459" s="25" t="n"/>
      <x:c r="W459" s="25">
        <x:f>IF(OR(AND(OR(O459="DELIVERED",O459="PARTIAL"),J459&lt;&gt;TRUE),AND(OR(E459="CASH",E459="DAY CHEQUE",E459="POST DATED CHQ"),I459&lt;&gt;TRUE),AND(OR(E459="CASH",E459="DAY CHEQUE",E459="POST DATED CHQ"),K459&lt;&gt;TRUE),AND(E459="POST DATED CHQ",ISBLANK(M459)),P459=TRUE,Q459=TRUE,AND(R459=TRUE,OR(ISBLANK(S459),ISBLANK(T459))),AND(E459="ONLINE",V459&lt;&gt;TRUE),AND(I459=TRUE,U459&lt;&gt;TRUE)),TRUE,FALSE)</x:f>
      </x:c>
      <x:c r="X459" s="22" t="n"/>
    </x:row>
    <x:row r="460">
      <x:c r="A460" s="22" t="n"/>
      <x:c r="B460" s="22" t="n"/>
      <x:c r="C460" s="22" t="n"/>
      <x:c r="D460" s="22" t="n"/>
      <x:c r="E460" s="22" t="n"/>
      <x:c r="F460" s="23" t="n"/>
      <x:c r="G460" s="23" t="n"/>
      <x:c r="H460" s="24">
        <x:f>IF(OR(ISBLANK(F460),ISBLANK(G460)),"",G460-F460)</x:f>
      </x:c>
      <x:c r="I460" s="25" t="n"/>
      <x:c r="J460" s="25" t="n"/>
      <x:c r="K460" s="25" t="n"/>
      <x:c r="L460" s="22" t="n"/>
      <x:c r="M460" s="22" t="n"/>
      <x:c r="N460" s="22" t="n"/>
      <x:c r="O460" s="22" t="n"/>
      <x:c r="P460" s="25" t="n"/>
      <x:c r="Q460" s="25" t="n"/>
      <x:c r="R460" s="25" t="n"/>
      <x:c r="S460" s="22" t="n"/>
      <x:c r="T460" s="23" t="n"/>
      <x:c r="U460" s="25" t="n"/>
      <x:c r="V460" s="25" t="n"/>
      <x:c r="W460" s="25">
        <x:f>IF(OR(AND(OR(O460="DELIVERED",O460="PARTIAL"),J460&lt;&gt;TRUE),AND(OR(E460="CASH",E460="DAY CHEQUE",E460="POST DATED CHQ"),I460&lt;&gt;TRUE),AND(OR(E460="CASH",E460="DAY CHEQUE",E460="POST DATED CHQ"),K460&lt;&gt;TRUE),AND(E460="POST DATED CHQ",ISBLANK(M460)),P460=TRUE,Q460=TRUE,AND(R460=TRUE,OR(ISBLANK(S460),ISBLANK(T460))),AND(E460="ONLINE",V460&lt;&gt;TRUE),AND(I460=TRUE,U460&lt;&gt;TRUE)),TRUE,FALSE)</x:f>
      </x:c>
      <x:c r="X460" s="22" t="n"/>
    </x:row>
    <x:row r="461">
      <x:c r="A461" s="22" t="n"/>
      <x:c r="B461" s="22" t="n"/>
      <x:c r="C461" s="22" t="n"/>
      <x:c r="D461" s="22" t="n"/>
      <x:c r="E461" s="22" t="n"/>
      <x:c r="F461" s="23" t="n"/>
      <x:c r="G461" s="23" t="n"/>
      <x:c r="H461" s="24">
        <x:f>IF(OR(ISBLANK(F461),ISBLANK(G461)),"",G461-F461)</x:f>
      </x:c>
      <x:c r="I461" s="25" t="n"/>
      <x:c r="J461" s="25" t="n"/>
      <x:c r="K461" s="25" t="n"/>
      <x:c r="L461" s="22" t="n"/>
      <x:c r="M461" s="22" t="n"/>
      <x:c r="N461" s="22" t="n"/>
      <x:c r="O461" s="22" t="n"/>
      <x:c r="P461" s="25" t="n"/>
      <x:c r="Q461" s="25" t="n"/>
      <x:c r="R461" s="25" t="n"/>
      <x:c r="S461" s="22" t="n"/>
      <x:c r="T461" s="23" t="n"/>
      <x:c r="U461" s="25" t="n"/>
      <x:c r="V461" s="25" t="n"/>
      <x:c r="W461" s="25">
        <x:f>IF(OR(AND(OR(O461="DELIVERED",O461="PARTIAL"),J461&lt;&gt;TRUE),AND(OR(E461="CASH",E461="DAY CHEQUE",E461="POST DATED CHQ"),I461&lt;&gt;TRUE),AND(OR(E461="CASH",E461="DAY CHEQUE",E461="POST DATED CHQ"),K461&lt;&gt;TRUE),AND(E461="POST DATED CHQ",ISBLANK(M461)),P461=TRUE,Q461=TRUE,AND(R461=TRUE,OR(ISBLANK(S461),ISBLANK(T461))),AND(E461="ONLINE",V461&lt;&gt;TRUE),AND(I461=TRUE,U461&lt;&gt;TRUE)),TRUE,FALSE)</x:f>
      </x:c>
      <x:c r="X461" s="22" t="n"/>
    </x:row>
    <x:row r="462">
      <x:c r="A462" s="22" t="n"/>
      <x:c r="B462" s="22" t="n"/>
      <x:c r="C462" s="22" t="n"/>
      <x:c r="D462" s="22" t="n"/>
      <x:c r="E462" s="22" t="n"/>
      <x:c r="F462" s="23" t="n"/>
      <x:c r="G462" s="23" t="n"/>
      <x:c r="H462" s="24">
        <x:f>IF(OR(ISBLANK(F462),ISBLANK(G462)),"",G462-F462)</x:f>
      </x:c>
      <x:c r="I462" s="25" t="n"/>
      <x:c r="J462" s="25" t="n"/>
      <x:c r="K462" s="25" t="n"/>
      <x:c r="L462" s="22" t="n"/>
      <x:c r="M462" s="22" t="n"/>
      <x:c r="N462" s="22" t="n"/>
      <x:c r="O462" s="22" t="n"/>
      <x:c r="P462" s="25" t="n"/>
      <x:c r="Q462" s="25" t="n"/>
      <x:c r="R462" s="25" t="n"/>
      <x:c r="S462" s="22" t="n"/>
      <x:c r="T462" s="23" t="n"/>
      <x:c r="U462" s="25" t="n"/>
      <x:c r="V462" s="25" t="n"/>
      <x:c r="W462" s="25">
        <x:f>IF(OR(AND(OR(O462="DELIVERED",O462="PARTIAL"),J462&lt;&gt;TRUE),AND(OR(E462="CASH",E462="DAY CHEQUE",E462="POST DATED CHQ"),I462&lt;&gt;TRUE),AND(OR(E462="CASH",E462="DAY CHEQUE",E462="POST DATED CHQ"),K462&lt;&gt;TRUE),AND(E462="POST DATED CHQ",ISBLANK(M462)),P462=TRUE,Q462=TRUE,AND(R462=TRUE,OR(ISBLANK(S462),ISBLANK(T462))),AND(E462="ONLINE",V462&lt;&gt;TRUE),AND(I462=TRUE,U462&lt;&gt;TRUE)),TRUE,FALSE)</x:f>
      </x:c>
      <x:c r="X462" s="22" t="n"/>
    </x:row>
    <x:row r="463">
      <x:c r="A463" s="22" t="n"/>
      <x:c r="B463" s="22" t="n"/>
      <x:c r="C463" s="22" t="n"/>
      <x:c r="D463" s="22" t="n"/>
      <x:c r="E463" s="22" t="n"/>
      <x:c r="F463" s="23" t="n"/>
      <x:c r="G463" s="23" t="n"/>
      <x:c r="H463" s="24">
        <x:f>IF(OR(ISBLANK(F463),ISBLANK(G463)),"",G463-F463)</x:f>
      </x:c>
      <x:c r="I463" s="25" t="n"/>
      <x:c r="J463" s="25" t="n"/>
      <x:c r="K463" s="25" t="n"/>
      <x:c r="L463" s="22" t="n"/>
      <x:c r="M463" s="22" t="n"/>
      <x:c r="N463" s="22" t="n"/>
      <x:c r="O463" s="22" t="n"/>
      <x:c r="P463" s="25" t="n"/>
      <x:c r="Q463" s="25" t="n"/>
      <x:c r="R463" s="25" t="n"/>
      <x:c r="S463" s="22" t="n"/>
      <x:c r="T463" s="23" t="n"/>
      <x:c r="U463" s="25" t="n"/>
      <x:c r="V463" s="25" t="n"/>
      <x:c r="W463" s="25">
        <x:f>IF(OR(AND(OR(O463="DELIVERED",O463="PARTIAL"),J463&lt;&gt;TRUE),AND(OR(E463="CASH",E463="DAY CHEQUE",E463="POST DATED CHQ"),I463&lt;&gt;TRUE),AND(OR(E463="CASH",E463="DAY CHEQUE",E463="POST DATED CHQ"),K463&lt;&gt;TRUE),AND(E463="POST DATED CHQ",ISBLANK(M463)),P463=TRUE,Q463=TRUE,AND(R463=TRUE,OR(ISBLANK(S463),ISBLANK(T463))),AND(E463="ONLINE",V463&lt;&gt;TRUE),AND(I463=TRUE,U463&lt;&gt;TRUE)),TRUE,FALSE)</x:f>
      </x:c>
      <x:c r="X463" s="22" t="n"/>
    </x:row>
    <x:row r="464">
      <x:c r="A464" s="22" t="n"/>
      <x:c r="B464" s="22" t="n"/>
      <x:c r="C464" s="22" t="n"/>
      <x:c r="D464" s="22" t="n"/>
      <x:c r="E464" s="22" t="n"/>
      <x:c r="F464" s="23" t="n"/>
      <x:c r="G464" s="23" t="n"/>
      <x:c r="H464" s="24">
        <x:f>IF(OR(ISBLANK(F464),ISBLANK(G464)),"",G464-F464)</x:f>
      </x:c>
      <x:c r="I464" s="25" t="n"/>
      <x:c r="J464" s="25" t="n"/>
      <x:c r="K464" s="25" t="n"/>
      <x:c r="L464" s="22" t="n"/>
      <x:c r="M464" s="22" t="n"/>
      <x:c r="N464" s="22" t="n"/>
      <x:c r="O464" s="22" t="n"/>
      <x:c r="P464" s="25" t="n"/>
      <x:c r="Q464" s="25" t="n"/>
      <x:c r="R464" s="25" t="n"/>
      <x:c r="S464" s="22" t="n"/>
      <x:c r="T464" s="23" t="n"/>
      <x:c r="U464" s="25" t="n"/>
      <x:c r="V464" s="25" t="n"/>
      <x:c r="W464" s="25">
        <x:f>IF(OR(AND(OR(O464="DELIVERED",O464="PARTIAL"),J464&lt;&gt;TRUE),AND(OR(E464="CASH",E464="DAY CHEQUE",E464="POST DATED CHQ"),I464&lt;&gt;TRUE),AND(OR(E464="CASH",E464="DAY CHEQUE",E464="POST DATED CHQ"),K464&lt;&gt;TRUE),AND(E464="POST DATED CHQ",ISBLANK(M464)),P464=TRUE,Q464=TRUE,AND(R464=TRUE,OR(ISBLANK(S464),ISBLANK(T464))),AND(E464="ONLINE",V464&lt;&gt;TRUE),AND(I464=TRUE,U464&lt;&gt;TRUE)),TRUE,FALSE)</x:f>
      </x:c>
      <x:c r="X464" s="22" t="n"/>
    </x:row>
    <x:row r="465">
      <x:c r="A465" s="22" t="n"/>
      <x:c r="B465" s="22" t="n"/>
      <x:c r="C465" s="22" t="n"/>
      <x:c r="D465" s="22" t="n"/>
      <x:c r="E465" s="22" t="n"/>
      <x:c r="F465" s="23" t="n"/>
      <x:c r="G465" s="23" t="n"/>
      <x:c r="H465" s="24">
        <x:f>IF(OR(ISBLANK(F465),ISBLANK(G465)),"",G465-F465)</x:f>
      </x:c>
      <x:c r="I465" s="25" t="n"/>
      <x:c r="J465" s="25" t="n"/>
      <x:c r="K465" s="25" t="n"/>
      <x:c r="L465" s="22" t="n"/>
      <x:c r="M465" s="22" t="n"/>
      <x:c r="N465" s="22" t="n"/>
      <x:c r="O465" s="22" t="n"/>
      <x:c r="P465" s="25" t="n"/>
      <x:c r="Q465" s="25" t="n"/>
      <x:c r="R465" s="25" t="n"/>
      <x:c r="S465" s="22" t="n"/>
      <x:c r="T465" s="23" t="n"/>
      <x:c r="U465" s="25" t="n"/>
      <x:c r="V465" s="25" t="n"/>
      <x:c r="W465" s="25">
        <x:f>IF(OR(AND(OR(O465="DELIVERED",O465="PARTIAL"),J465&lt;&gt;TRUE),AND(OR(E465="CASH",E465="DAY CHEQUE",E465="POST DATED CHQ"),I465&lt;&gt;TRUE),AND(OR(E465="CASH",E465="DAY CHEQUE",E465="POST DATED CHQ"),K465&lt;&gt;TRUE),AND(E465="POST DATED CHQ",ISBLANK(M465)),P465=TRUE,Q465=TRUE,AND(R465=TRUE,OR(ISBLANK(S465),ISBLANK(T465))),AND(E465="ONLINE",V465&lt;&gt;TRUE),AND(I465=TRUE,U465&lt;&gt;TRUE)),TRUE,FALSE)</x:f>
      </x:c>
      <x:c r="X465" s="22" t="n"/>
    </x:row>
    <x:row r="466">
      <x:c r="A466" s="22" t="n"/>
      <x:c r="B466" s="22" t="n"/>
      <x:c r="C466" s="22" t="n"/>
      <x:c r="D466" s="22" t="n"/>
      <x:c r="E466" s="22" t="n"/>
      <x:c r="F466" s="23" t="n"/>
      <x:c r="G466" s="23" t="n"/>
      <x:c r="H466" s="24">
        <x:f>IF(OR(ISBLANK(F466),ISBLANK(G466)),"",G466-F466)</x:f>
      </x:c>
      <x:c r="I466" s="25" t="n"/>
      <x:c r="J466" s="25" t="n"/>
      <x:c r="K466" s="25" t="n"/>
      <x:c r="L466" s="22" t="n"/>
      <x:c r="M466" s="22" t="n"/>
      <x:c r="N466" s="22" t="n"/>
      <x:c r="O466" s="22" t="n"/>
      <x:c r="P466" s="25" t="n"/>
      <x:c r="Q466" s="25" t="n"/>
      <x:c r="R466" s="25" t="n"/>
      <x:c r="S466" s="22" t="n"/>
      <x:c r="T466" s="23" t="n"/>
      <x:c r="U466" s="25" t="n"/>
      <x:c r="V466" s="25" t="n"/>
      <x:c r="W466" s="25">
        <x:f>IF(OR(AND(OR(O466="DELIVERED",O466="PARTIAL"),J466&lt;&gt;TRUE),AND(OR(E466="CASH",E466="DAY CHEQUE",E466="POST DATED CHQ"),I466&lt;&gt;TRUE),AND(OR(E466="CASH",E466="DAY CHEQUE",E466="POST DATED CHQ"),K466&lt;&gt;TRUE),AND(E466="POST DATED CHQ",ISBLANK(M466)),P466=TRUE,Q466=TRUE,AND(R466=TRUE,OR(ISBLANK(S466),ISBLANK(T466))),AND(E466="ONLINE",V466&lt;&gt;TRUE),AND(I466=TRUE,U466&lt;&gt;TRUE)),TRUE,FALSE)</x:f>
      </x:c>
      <x:c r="X466" s="22" t="n"/>
    </x:row>
    <x:row r="467">
      <x:c r="A467" s="22" t="n"/>
      <x:c r="B467" s="22" t="n"/>
      <x:c r="C467" s="22" t="n"/>
      <x:c r="D467" s="22" t="n"/>
      <x:c r="E467" s="22" t="n"/>
      <x:c r="F467" s="23" t="n"/>
      <x:c r="G467" s="23" t="n"/>
      <x:c r="H467" s="24">
        <x:f>IF(OR(ISBLANK(F467),ISBLANK(G467)),"",G467-F467)</x:f>
      </x:c>
      <x:c r="I467" s="25" t="n"/>
      <x:c r="J467" s="25" t="n"/>
      <x:c r="K467" s="25" t="n"/>
      <x:c r="L467" s="22" t="n"/>
      <x:c r="M467" s="22" t="n"/>
      <x:c r="N467" s="22" t="n"/>
      <x:c r="O467" s="22" t="n"/>
      <x:c r="P467" s="25" t="n"/>
      <x:c r="Q467" s="25" t="n"/>
      <x:c r="R467" s="25" t="n"/>
      <x:c r="S467" s="22" t="n"/>
      <x:c r="T467" s="23" t="n"/>
      <x:c r="U467" s="25" t="n"/>
      <x:c r="V467" s="25" t="n"/>
      <x:c r="W467" s="25">
        <x:f>IF(OR(AND(OR(O467="DELIVERED",O467="PARTIAL"),J467&lt;&gt;TRUE),AND(OR(E467="CASH",E467="DAY CHEQUE",E467="POST DATED CHQ"),I467&lt;&gt;TRUE),AND(OR(E467="CASH",E467="DAY CHEQUE",E467="POST DATED CHQ"),K467&lt;&gt;TRUE),AND(E467="POST DATED CHQ",ISBLANK(M467)),P467=TRUE,Q467=TRUE,AND(R467=TRUE,OR(ISBLANK(S467),ISBLANK(T467))),AND(E467="ONLINE",V467&lt;&gt;TRUE),AND(I467=TRUE,U467&lt;&gt;TRUE)),TRUE,FALSE)</x:f>
      </x:c>
      <x:c r="X467" s="22" t="n"/>
    </x:row>
    <x:row r="468">
      <x:c r="A468" s="22" t="n"/>
      <x:c r="B468" s="22" t="n"/>
      <x:c r="C468" s="22" t="n"/>
      <x:c r="D468" s="22" t="n"/>
      <x:c r="E468" s="22" t="n"/>
      <x:c r="F468" s="23" t="n"/>
      <x:c r="G468" s="23" t="n"/>
      <x:c r="H468" s="24">
        <x:f>IF(OR(ISBLANK(F468),ISBLANK(G468)),"",G468-F468)</x:f>
      </x:c>
      <x:c r="I468" s="25" t="n"/>
      <x:c r="J468" s="25" t="n"/>
      <x:c r="K468" s="25" t="n"/>
      <x:c r="L468" s="22" t="n"/>
      <x:c r="M468" s="22" t="n"/>
      <x:c r="N468" s="22" t="n"/>
      <x:c r="O468" s="22" t="n"/>
      <x:c r="P468" s="25" t="n"/>
      <x:c r="Q468" s="25" t="n"/>
      <x:c r="R468" s="25" t="n"/>
      <x:c r="S468" s="22" t="n"/>
      <x:c r="T468" s="23" t="n"/>
      <x:c r="U468" s="25" t="n"/>
      <x:c r="V468" s="25" t="n"/>
      <x:c r="W468" s="25">
        <x:f>IF(OR(AND(OR(O468="DELIVERED",O468="PARTIAL"),J468&lt;&gt;TRUE),AND(OR(E468="CASH",E468="DAY CHEQUE",E468="POST DATED CHQ"),I468&lt;&gt;TRUE),AND(OR(E468="CASH",E468="DAY CHEQUE",E468="POST DATED CHQ"),K468&lt;&gt;TRUE),AND(E468="POST DATED CHQ",ISBLANK(M468)),P468=TRUE,Q468=TRUE,AND(R468=TRUE,OR(ISBLANK(S468),ISBLANK(T468))),AND(E468="ONLINE",V468&lt;&gt;TRUE),AND(I468=TRUE,U468&lt;&gt;TRUE)),TRUE,FALSE)</x:f>
      </x:c>
      <x:c r="X468" s="22" t="n"/>
    </x:row>
    <x:row r="469">
      <x:c r="A469" s="22" t="n"/>
      <x:c r="B469" s="22" t="n"/>
      <x:c r="C469" s="22" t="n"/>
      <x:c r="D469" s="22" t="n"/>
      <x:c r="E469" s="22" t="n"/>
      <x:c r="F469" s="23" t="n"/>
      <x:c r="G469" s="23" t="n"/>
      <x:c r="H469" s="24">
        <x:f>IF(OR(ISBLANK(F469),ISBLANK(G469)),"",G469-F469)</x:f>
      </x:c>
      <x:c r="I469" s="25" t="n"/>
      <x:c r="J469" s="25" t="n"/>
      <x:c r="K469" s="25" t="n"/>
      <x:c r="L469" s="22" t="n"/>
      <x:c r="M469" s="22" t="n"/>
      <x:c r="N469" s="22" t="n"/>
      <x:c r="O469" s="22" t="n"/>
      <x:c r="P469" s="25" t="n"/>
      <x:c r="Q469" s="25" t="n"/>
      <x:c r="R469" s="25" t="n"/>
      <x:c r="S469" s="22" t="n"/>
      <x:c r="T469" s="23" t="n"/>
      <x:c r="U469" s="25" t="n"/>
      <x:c r="V469" s="25" t="n"/>
      <x:c r="W469" s="25">
        <x:f>IF(OR(AND(OR(O469="DELIVERED",O469="PARTIAL"),J469&lt;&gt;TRUE),AND(OR(E469="CASH",E469="DAY CHEQUE",E469="POST DATED CHQ"),I469&lt;&gt;TRUE),AND(OR(E469="CASH",E469="DAY CHEQUE",E469="POST DATED CHQ"),K469&lt;&gt;TRUE),AND(E469="POST DATED CHQ",ISBLANK(M469)),P469=TRUE,Q469=TRUE,AND(R469=TRUE,OR(ISBLANK(S469),ISBLANK(T469))),AND(E469="ONLINE",V469&lt;&gt;TRUE),AND(I469=TRUE,U469&lt;&gt;TRUE)),TRUE,FALSE)</x:f>
      </x:c>
      <x:c r="X469" s="22" t="n"/>
    </x:row>
    <x:row r="470">
      <x:c r="A470" s="22" t="n"/>
      <x:c r="B470" s="22" t="n"/>
      <x:c r="C470" s="22" t="n"/>
      <x:c r="D470" s="22" t="n"/>
      <x:c r="E470" s="22" t="n"/>
      <x:c r="F470" s="23" t="n"/>
      <x:c r="G470" s="23" t="n"/>
      <x:c r="H470" s="24">
        <x:f>IF(OR(ISBLANK(F470),ISBLANK(G470)),"",G470-F470)</x:f>
      </x:c>
      <x:c r="I470" s="25" t="n"/>
      <x:c r="J470" s="25" t="n"/>
      <x:c r="K470" s="25" t="n"/>
      <x:c r="L470" s="22" t="n"/>
      <x:c r="M470" s="22" t="n"/>
      <x:c r="N470" s="22" t="n"/>
      <x:c r="O470" s="22" t="n"/>
      <x:c r="P470" s="25" t="n"/>
      <x:c r="Q470" s="25" t="n"/>
      <x:c r="R470" s="25" t="n"/>
      <x:c r="S470" s="22" t="n"/>
      <x:c r="T470" s="23" t="n"/>
      <x:c r="U470" s="25" t="n"/>
      <x:c r="V470" s="25" t="n"/>
      <x:c r="W470" s="25">
        <x:f>IF(OR(AND(OR(O470="DELIVERED",O470="PARTIAL"),J470&lt;&gt;TRUE),AND(OR(E470="CASH",E470="DAY CHEQUE",E470="POST DATED CHQ"),I470&lt;&gt;TRUE),AND(OR(E470="CASH",E470="DAY CHEQUE",E470="POST DATED CHQ"),K470&lt;&gt;TRUE),AND(E470="POST DATED CHQ",ISBLANK(M470)),P470=TRUE,Q470=TRUE,AND(R470=TRUE,OR(ISBLANK(S470),ISBLANK(T470))),AND(E470="ONLINE",V470&lt;&gt;TRUE),AND(I470=TRUE,U470&lt;&gt;TRUE)),TRUE,FALSE)</x:f>
      </x:c>
      <x:c r="X470" s="22" t="n"/>
    </x:row>
    <x:row r="471">
      <x:c r="A471" s="22" t="n"/>
      <x:c r="B471" s="22" t="n"/>
      <x:c r="C471" s="22" t="n"/>
      <x:c r="D471" s="22" t="n"/>
      <x:c r="E471" s="22" t="n"/>
      <x:c r="F471" s="23" t="n"/>
      <x:c r="G471" s="23" t="n"/>
      <x:c r="H471" s="24">
        <x:f>IF(OR(ISBLANK(F471),ISBLANK(G471)),"",G471-F471)</x:f>
      </x:c>
      <x:c r="I471" s="25" t="n"/>
      <x:c r="J471" s="25" t="n"/>
      <x:c r="K471" s="25" t="n"/>
      <x:c r="L471" s="22" t="n"/>
      <x:c r="M471" s="22" t="n"/>
      <x:c r="N471" s="22" t="n"/>
      <x:c r="O471" s="22" t="n"/>
      <x:c r="P471" s="25" t="n"/>
      <x:c r="Q471" s="25" t="n"/>
      <x:c r="R471" s="25" t="n"/>
      <x:c r="S471" s="22" t="n"/>
      <x:c r="T471" s="23" t="n"/>
      <x:c r="U471" s="25" t="n"/>
      <x:c r="V471" s="25" t="n"/>
      <x:c r="W471" s="25">
        <x:f>IF(OR(AND(OR(O471="DELIVERED",O471="PARTIAL"),J471&lt;&gt;TRUE),AND(OR(E471="CASH",E471="DAY CHEQUE",E471="POST DATED CHQ"),I471&lt;&gt;TRUE),AND(OR(E471="CASH",E471="DAY CHEQUE",E471="POST DATED CHQ"),K471&lt;&gt;TRUE),AND(E471="POST DATED CHQ",ISBLANK(M471)),P471=TRUE,Q471=TRUE,AND(R471=TRUE,OR(ISBLANK(S471),ISBLANK(T471))),AND(E471="ONLINE",V471&lt;&gt;TRUE),AND(I471=TRUE,U471&lt;&gt;TRUE)),TRUE,FALSE)</x:f>
      </x:c>
      <x:c r="X471" s="22" t="n"/>
    </x:row>
    <x:row r="472">
      <x:c r="A472" s="22" t="n"/>
      <x:c r="B472" s="22" t="n"/>
      <x:c r="C472" s="22" t="n"/>
      <x:c r="D472" s="22" t="n"/>
      <x:c r="E472" s="22" t="n"/>
      <x:c r="F472" s="23" t="n"/>
      <x:c r="G472" s="23" t="n"/>
      <x:c r="H472" s="24">
        <x:f>IF(OR(ISBLANK(F472),ISBLANK(G472)),"",G472-F472)</x:f>
      </x:c>
      <x:c r="I472" s="25" t="n"/>
      <x:c r="J472" s="25" t="n"/>
      <x:c r="K472" s="25" t="n"/>
      <x:c r="L472" s="22" t="n"/>
      <x:c r="M472" s="22" t="n"/>
      <x:c r="N472" s="22" t="n"/>
      <x:c r="O472" s="22" t="n"/>
      <x:c r="P472" s="25" t="n"/>
      <x:c r="Q472" s="25" t="n"/>
      <x:c r="R472" s="25" t="n"/>
      <x:c r="S472" s="22" t="n"/>
      <x:c r="T472" s="23" t="n"/>
      <x:c r="U472" s="25" t="n"/>
      <x:c r="V472" s="25" t="n"/>
      <x:c r="W472" s="25">
        <x:f>IF(OR(AND(OR(O472="DELIVERED",O472="PARTIAL"),J472&lt;&gt;TRUE),AND(OR(E472="CASH",E472="DAY CHEQUE",E472="POST DATED CHQ"),I472&lt;&gt;TRUE),AND(OR(E472="CASH",E472="DAY CHEQUE",E472="POST DATED CHQ"),K472&lt;&gt;TRUE),AND(E472="POST DATED CHQ",ISBLANK(M472)),P472=TRUE,Q472=TRUE,AND(R472=TRUE,OR(ISBLANK(S472),ISBLANK(T472))),AND(E472="ONLINE",V472&lt;&gt;TRUE),AND(I472=TRUE,U472&lt;&gt;TRUE)),TRUE,FALSE)</x:f>
      </x:c>
      <x:c r="X472" s="22" t="n"/>
    </x:row>
    <x:row r="473">
      <x:c r="A473" s="22" t="n"/>
      <x:c r="B473" s="22" t="n"/>
      <x:c r="C473" s="22" t="n"/>
      <x:c r="D473" s="22" t="n"/>
      <x:c r="E473" s="22" t="n"/>
      <x:c r="F473" s="23" t="n"/>
      <x:c r="G473" s="23" t="n"/>
      <x:c r="H473" s="24">
        <x:f>IF(OR(ISBLANK(F473),ISBLANK(G473)),"",G473-F473)</x:f>
      </x:c>
      <x:c r="I473" s="25" t="n"/>
      <x:c r="J473" s="25" t="n"/>
      <x:c r="K473" s="25" t="n"/>
      <x:c r="L473" s="22" t="n"/>
      <x:c r="M473" s="22" t="n"/>
      <x:c r="N473" s="22" t="n"/>
      <x:c r="O473" s="22" t="n"/>
      <x:c r="P473" s="25" t="n"/>
      <x:c r="Q473" s="25" t="n"/>
      <x:c r="R473" s="25" t="n"/>
      <x:c r="S473" s="22" t="n"/>
      <x:c r="T473" s="23" t="n"/>
      <x:c r="U473" s="25" t="n"/>
      <x:c r="V473" s="25" t="n"/>
      <x:c r="W473" s="25">
        <x:f>IF(OR(AND(OR(O473="DELIVERED",O473="PARTIAL"),J473&lt;&gt;TRUE),AND(OR(E473="CASH",E473="DAY CHEQUE",E473="POST DATED CHQ"),I473&lt;&gt;TRUE),AND(OR(E473="CASH",E473="DAY CHEQUE",E473="POST DATED CHQ"),K473&lt;&gt;TRUE),AND(E473="POST DATED CHQ",ISBLANK(M473)),P473=TRUE,Q473=TRUE,AND(R473=TRUE,OR(ISBLANK(S473),ISBLANK(T473))),AND(E473="ONLINE",V473&lt;&gt;TRUE),AND(I473=TRUE,U473&lt;&gt;TRUE)),TRUE,FALSE)</x:f>
      </x:c>
      <x:c r="X473" s="22" t="n"/>
    </x:row>
    <x:row r="474">
      <x:c r="A474" s="22" t="n"/>
      <x:c r="B474" s="22" t="n"/>
      <x:c r="C474" s="22" t="n"/>
      <x:c r="D474" s="22" t="n"/>
      <x:c r="E474" s="22" t="n"/>
      <x:c r="F474" s="23" t="n"/>
      <x:c r="G474" s="23" t="n"/>
      <x:c r="H474" s="24">
        <x:f>IF(OR(ISBLANK(F474),ISBLANK(G474)),"",G474-F474)</x:f>
      </x:c>
      <x:c r="I474" s="25" t="n"/>
      <x:c r="J474" s="25" t="n"/>
      <x:c r="K474" s="25" t="n"/>
      <x:c r="L474" s="22" t="n"/>
      <x:c r="M474" s="22" t="n"/>
      <x:c r="N474" s="22" t="n"/>
      <x:c r="O474" s="22" t="n"/>
      <x:c r="P474" s="25" t="n"/>
      <x:c r="Q474" s="25" t="n"/>
      <x:c r="R474" s="25" t="n"/>
      <x:c r="S474" s="22" t="n"/>
      <x:c r="T474" s="23" t="n"/>
      <x:c r="U474" s="25" t="n"/>
      <x:c r="V474" s="25" t="n"/>
      <x:c r="W474" s="25">
        <x:f>IF(OR(AND(OR(O474="DELIVERED",O474="PARTIAL"),J474&lt;&gt;TRUE),AND(OR(E474="CASH",E474="DAY CHEQUE",E474="POST DATED CHQ"),I474&lt;&gt;TRUE),AND(OR(E474="CASH",E474="DAY CHEQUE",E474="POST DATED CHQ"),K474&lt;&gt;TRUE),AND(E474="POST DATED CHQ",ISBLANK(M474)),P474=TRUE,Q474=TRUE,AND(R474=TRUE,OR(ISBLANK(S474),ISBLANK(T474))),AND(E474="ONLINE",V474&lt;&gt;TRUE),AND(I474=TRUE,U474&lt;&gt;TRUE)),TRUE,FALSE)</x:f>
      </x:c>
      <x:c r="X474" s="22" t="n"/>
    </x:row>
    <x:row r="475">
      <x:c r="A475" s="22" t="n"/>
      <x:c r="B475" s="22" t="n"/>
      <x:c r="C475" s="22" t="n"/>
      <x:c r="D475" s="22" t="n"/>
      <x:c r="E475" s="22" t="n"/>
      <x:c r="F475" s="23" t="n"/>
      <x:c r="G475" s="23" t="n"/>
      <x:c r="H475" s="24">
        <x:f>IF(OR(ISBLANK(F475),ISBLANK(G475)),"",G475-F475)</x:f>
      </x:c>
      <x:c r="I475" s="25" t="n"/>
      <x:c r="J475" s="25" t="n"/>
      <x:c r="K475" s="25" t="n"/>
      <x:c r="L475" s="22" t="n"/>
      <x:c r="M475" s="22" t="n"/>
      <x:c r="N475" s="22" t="n"/>
      <x:c r="O475" s="22" t="n"/>
      <x:c r="P475" s="25" t="n"/>
      <x:c r="Q475" s="25" t="n"/>
      <x:c r="R475" s="25" t="n"/>
      <x:c r="S475" s="22" t="n"/>
      <x:c r="T475" s="23" t="n"/>
      <x:c r="U475" s="25" t="n"/>
      <x:c r="V475" s="25" t="n"/>
      <x:c r="W475" s="25">
        <x:f>IF(OR(AND(OR(O475="DELIVERED",O475="PARTIAL"),J475&lt;&gt;TRUE),AND(OR(E475="CASH",E475="DAY CHEQUE",E475="POST DATED CHQ"),I475&lt;&gt;TRUE),AND(OR(E475="CASH",E475="DAY CHEQUE",E475="POST DATED CHQ"),K475&lt;&gt;TRUE),AND(E475="POST DATED CHQ",ISBLANK(M475)),P475=TRUE,Q475=TRUE,AND(R475=TRUE,OR(ISBLANK(S475),ISBLANK(T475))),AND(E475="ONLINE",V475&lt;&gt;TRUE),AND(I475=TRUE,U475&lt;&gt;TRUE)),TRUE,FALSE)</x:f>
      </x:c>
      <x:c r="X475" s="22" t="n"/>
    </x:row>
    <x:row r="476">
      <x:c r="A476" s="22" t="n"/>
      <x:c r="B476" s="22" t="n"/>
      <x:c r="C476" s="22" t="n"/>
      <x:c r="D476" s="22" t="n"/>
      <x:c r="E476" s="22" t="n"/>
      <x:c r="F476" s="23" t="n"/>
      <x:c r="G476" s="23" t="n"/>
      <x:c r="H476" s="24">
        <x:f>IF(OR(ISBLANK(F476),ISBLANK(G476)),"",G476-F476)</x:f>
      </x:c>
      <x:c r="I476" s="25" t="n"/>
      <x:c r="J476" s="25" t="n"/>
      <x:c r="K476" s="25" t="n"/>
      <x:c r="L476" s="22" t="n"/>
      <x:c r="M476" s="22" t="n"/>
      <x:c r="N476" s="22" t="n"/>
      <x:c r="O476" s="22" t="n"/>
      <x:c r="P476" s="25" t="n"/>
      <x:c r="Q476" s="25" t="n"/>
      <x:c r="R476" s="25" t="n"/>
      <x:c r="S476" s="22" t="n"/>
      <x:c r="T476" s="23" t="n"/>
      <x:c r="U476" s="25" t="n"/>
      <x:c r="V476" s="25" t="n"/>
      <x:c r="W476" s="25">
        <x:f>IF(OR(AND(OR(O476="DELIVERED",O476="PARTIAL"),J476&lt;&gt;TRUE),AND(OR(E476="CASH",E476="DAY CHEQUE",E476="POST DATED CHQ"),I476&lt;&gt;TRUE),AND(OR(E476="CASH",E476="DAY CHEQUE",E476="POST DATED CHQ"),K476&lt;&gt;TRUE),AND(E476="POST DATED CHQ",ISBLANK(M476)),P476=TRUE,Q476=TRUE,AND(R476=TRUE,OR(ISBLANK(S476),ISBLANK(T476))),AND(E476="ONLINE",V476&lt;&gt;TRUE),AND(I476=TRUE,U476&lt;&gt;TRUE)),TRUE,FALSE)</x:f>
      </x:c>
      <x:c r="X476" s="22" t="n"/>
    </x:row>
    <x:row r="477">
      <x:c r="A477" s="22" t="n"/>
      <x:c r="B477" s="22" t="n"/>
      <x:c r="C477" s="22" t="n"/>
      <x:c r="D477" s="22" t="n"/>
      <x:c r="E477" s="22" t="n"/>
      <x:c r="F477" s="23" t="n"/>
      <x:c r="G477" s="23" t="n"/>
      <x:c r="H477" s="24">
        <x:f>IF(OR(ISBLANK(F477),ISBLANK(G477)),"",G477-F477)</x:f>
      </x:c>
      <x:c r="I477" s="25" t="n"/>
      <x:c r="J477" s="25" t="n"/>
      <x:c r="K477" s="25" t="n"/>
      <x:c r="L477" s="22" t="n"/>
      <x:c r="M477" s="22" t="n"/>
      <x:c r="N477" s="22" t="n"/>
      <x:c r="O477" s="22" t="n"/>
      <x:c r="P477" s="25" t="n"/>
      <x:c r="Q477" s="25" t="n"/>
      <x:c r="R477" s="25" t="n"/>
      <x:c r="S477" s="22" t="n"/>
      <x:c r="T477" s="23" t="n"/>
      <x:c r="U477" s="25" t="n"/>
      <x:c r="V477" s="25" t="n"/>
      <x:c r="W477" s="25">
        <x:f>IF(OR(AND(OR(O477="DELIVERED",O477="PARTIAL"),J477&lt;&gt;TRUE),AND(OR(E477="CASH",E477="DAY CHEQUE",E477="POST DATED CHQ"),I477&lt;&gt;TRUE),AND(OR(E477="CASH",E477="DAY CHEQUE",E477="POST DATED CHQ"),K477&lt;&gt;TRUE),AND(E477="POST DATED CHQ",ISBLANK(M477)),P477=TRUE,Q477=TRUE,AND(R477=TRUE,OR(ISBLANK(S477),ISBLANK(T477))),AND(E477="ONLINE",V477&lt;&gt;TRUE),AND(I477=TRUE,U477&lt;&gt;TRUE)),TRUE,FALSE)</x:f>
      </x:c>
      <x:c r="X477" s="22" t="n"/>
    </x:row>
    <x:row r="478">
      <x:c r="A478" s="22" t="n"/>
      <x:c r="B478" s="22" t="n"/>
      <x:c r="C478" s="22" t="n"/>
      <x:c r="D478" s="22" t="n"/>
      <x:c r="E478" s="22" t="n"/>
      <x:c r="F478" s="23" t="n"/>
      <x:c r="G478" s="23" t="n"/>
      <x:c r="H478" s="24">
        <x:f>IF(OR(ISBLANK(F478),ISBLANK(G478)),"",G478-F478)</x:f>
      </x:c>
      <x:c r="I478" s="25" t="n"/>
      <x:c r="J478" s="25" t="n"/>
      <x:c r="K478" s="25" t="n"/>
      <x:c r="L478" s="22" t="n"/>
      <x:c r="M478" s="22" t="n"/>
      <x:c r="N478" s="22" t="n"/>
      <x:c r="O478" s="22" t="n"/>
      <x:c r="P478" s="25" t="n"/>
      <x:c r="Q478" s="25" t="n"/>
      <x:c r="R478" s="25" t="n"/>
      <x:c r="S478" s="22" t="n"/>
      <x:c r="T478" s="23" t="n"/>
      <x:c r="U478" s="25" t="n"/>
      <x:c r="V478" s="25" t="n"/>
      <x:c r="W478" s="25">
        <x:f>IF(OR(AND(OR(O478="DELIVERED",O478="PARTIAL"),J478&lt;&gt;TRUE),AND(OR(E478="CASH",E478="DAY CHEQUE",E478="POST DATED CHQ"),I478&lt;&gt;TRUE),AND(OR(E478="CASH",E478="DAY CHEQUE",E478="POST DATED CHQ"),K478&lt;&gt;TRUE),AND(E478="POST DATED CHQ",ISBLANK(M478)),P478=TRUE,Q478=TRUE,AND(R478=TRUE,OR(ISBLANK(S478),ISBLANK(T478))),AND(E478="ONLINE",V478&lt;&gt;TRUE),AND(I478=TRUE,U478&lt;&gt;TRUE)),TRUE,FALSE)</x:f>
      </x:c>
      <x:c r="X478" s="22" t="n"/>
    </x:row>
    <x:row r="479">
      <x:c r="A479" s="22" t="n"/>
      <x:c r="B479" s="22" t="n"/>
      <x:c r="C479" s="22" t="n"/>
      <x:c r="D479" s="22" t="n"/>
      <x:c r="E479" s="22" t="n"/>
      <x:c r="F479" s="23" t="n"/>
      <x:c r="G479" s="23" t="n"/>
      <x:c r="H479" s="24">
        <x:f>IF(OR(ISBLANK(F479),ISBLANK(G479)),"",G479-F479)</x:f>
      </x:c>
      <x:c r="I479" s="25" t="n"/>
      <x:c r="J479" s="25" t="n"/>
      <x:c r="K479" s="25" t="n"/>
      <x:c r="L479" s="22" t="n"/>
      <x:c r="M479" s="22" t="n"/>
      <x:c r="N479" s="22" t="n"/>
      <x:c r="O479" s="22" t="n"/>
      <x:c r="P479" s="25" t="n"/>
      <x:c r="Q479" s="25" t="n"/>
      <x:c r="R479" s="25" t="n"/>
      <x:c r="S479" s="22" t="n"/>
      <x:c r="T479" s="23" t="n"/>
      <x:c r="U479" s="25" t="n"/>
      <x:c r="V479" s="25" t="n"/>
      <x:c r="W479" s="25">
        <x:f>IF(OR(AND(OR(O479="DELIVERED",O479="PARTIAL"),J479&lt;&gt;TRUE),AND(OR(E479="CASH",E479="DAY CHEQUE",E479="POST DATED CHQ"),I479&lt;&gt;TRUE),AND(OR(E479="CASH",E479="DAY CHEQUE",E479="POST DATED CHQ"),K479&lt;&gt;TRUE),AND(E479="POST DATED CHQ",ISBLANK(M479)),P479=TRUE,Q479=TRUE,AND(R479=TRUE,OR(ISBLANK(S479),ISBLANK(T479))),AND(E479="ONLINE",V479&lt;&gt;TRUE),AND(I479=TRUE,U479&lt;&gt;TRUE)),TRUE,FALSE)</x:f>
      </x:c>
      <x:c r="X479" s="22" t="n"/>
    </x:row>
    <x:row r="480">
      <x:c r="A480" s="22" t="n"/>
      <x:c r="B480" s="22" t="n"/>
      <x:c r="C480" s="22" t="n"/>
      <x:c r="D480" s="22" t="n"/>
      <x:c r="E480" s="22" t="n"/>
      <x:c r="F480" s="23" t="n"/>
      <x:c r="G480" s="23" t="n"/>
      <x:c r="H480" s="24">
        <x:f>IF(OR(ISBLANK(F480),ISBLANK(G480)),"",G480-F480)</x:f>
      </x:c>
      <x:c r="I480" s="25" t="n"/>
      <x:c r="J480" s="25" t="n"/>
      <x:c r="K480" s="25" t="n"/>
      <x:c r="L480" s="22" t="n"/>
      <x:c r="M480" s="22" t="n"/>
      <x:c r="N480" s="22" t="n"/>
      <x:c r="O480" s="22" t="n"/>
      <x:c r="P480" s="25" t="n"/>
      <x:c r="Q480" s="25" t="n"/>
      <x:c r="R480" s="25" t="n"/>
      <x:c r="S480" s="22" t="n"/>
      <x:c r="T480" s="23" t="n"/>
      <x:c r="U480" s="25" t="n"/>
      <x:c r="V480" s="25" t="n"/>
      <x:c r="W480" s="25">
        <x:f>IF(OR(AND(OR(O480="DELIVERED",O480="PARTIAL"),J480&lt;&gt;TRUE),AND(OR(E480="CASH",E480="DAY CHEQUE",E480="POST DATED CHQ"),I480&lt;&gt;TRUE),AND(OR(E480="CASH",E480="DAY CHEQUE",E480="POST DATED CHQ"),K480&lt;&gt;TRUE),AND(E480="POST DATED CHQ",ISBLANK(M480)),P480=TRUE,Q480=TRUE,AND(R480=TRUE,OR(ISBLANK(S480),ISBLANK(T480))),AND(E480="ONLINE",V480&lt;&gt;TRUE),AND(I480=TRUE,U480&lt;&gt;TRUE)),TRUE,FALSE)</x:f>
      </x:c>
      <x:c r="X480" s="22" t="n"/>
    </x:row>
    <x:row r="481">
      <x:c r="A481" s="22" t="n"/>
      <x:c r="B481" s="22" t="n"/>
      <x:c r="C481" s="22" t="n"/>
      <x:c r="D481" s="22" t="n"/>
      <x:c r="E481" s="22" t="n"/>
      <x:c r="F481" s="23" t="n"/>
      <x:c r="G481" s="23" t="n"/>
      <x:c r="H481" s="24">
        <x:f>IF(OR(ISBLANK(F481),ISBLANK(G481)),"",G481-F481)</x:f>
      </x:c>
      <x:c r="I481" s="25" t="n"/>
      <x:c r="J481" s="25" t="n"/>
      <x:c r="K481" s="25" t="n"/>
      <x:c r="L481" s="22" t="n"/>
      <x:c r="M481" s="22" t="n"/>
      <x:c r="N481" s="22" t="n"/>
      <x:c r="O481" s="22" t="n"/>
      <x:c r="P481" s="25" t="n"/>
      <x:c r="Q481" s="25" t="n"/>
      <x:c r="R481" s="25" t="n"/>
      <x:c r="S481" s="22" t="n"/>
      <x:c r="T481" s="23" t="n"/>
      <x:c r="U481" s="25" t="n"/>
      <x:c r="V481" s="25" t="n"/>
      <x:c r="W481" s="25">
        <x:f>IF(OR(AND(OR(O481="DELIVERED",O481="PARTIAL"),J481&lt;&gt;TRUE),AND(OR(E481="CASH",E481="DAY CHEQUE",E481="POST DATED CHQ"),I481&lt;&gt;TRUE),AND(OR(E481="CASH",E481="DAY CHEQUE",E481="POST DATED CHQ"),K481&lt;&gt;TRUE),AND(E481="POST DATED CHQ",ISBLANK(M481)),P481=TRUE,Q481=TRUE,AND(R481=TRUE,OR(ISBLANK(S481),ISBLANK(T481))),AND(E481="ONLINE",V481&lt;&gt;TRUE),AND(I481=TRUE,U481&lt;&gt;TRUE)),TRUE,FALSE)</x:f>
      </x:c>
      <x:c r="X481" s="22" t="n"/>
    </x:row>
    <x:row r="482">
      <x:c r="A482" s="22" t="n"/>
      <x:c r="B482" s="22" t="n"/>
      <x:c r="C482" s="22" t="n"/>
      <x:c r="D482" s="22" t="n"/>
      <x:c r="E482" s="22" t="n"/>
      <x:c r="F482" s="23" t="n"/>
      <x:c r="G482" s="23" t="n"/>
      <x:c r="H482" s="24">
        <x:f>IF(OR(ISBLANK(F482),ISBLANK(G482)),"",G482-F482)</x:f>
      </x:c>
      <x:c r="I482" s="25" t="n"/>
      <x:c r="J482" s="25" t="n"/>
      <x:c r="K482" s="25" t="n"/>
      <x:c r="L482" s="22" t="n"/>
      <x:c r="M482" s="22" t="n"/>
      <x:c r="N482" s="22" t="n"/>
      <x:c r="O482" s="22" t="n"/>
      <x:c r="P482" s="25" t="n"/>
      <x:c r="Q482" s="25" t="n"/>
      <x:c r="R482" s="25" t="n"/>
      <x:c r="S482" s="22" t="n"/>
      <x:c r="T482" s="23" t="n"/>
      <x:c r="U482" s="25" t="n"/>
      <x:c r="V482" s="25" t="n"/>
      <x:c r="W482" s="25">
        <x:f>IF(OR(AND(OR(O482="DELIVERED",O482="PARTIAL"),J482&lt;&gt;TRUE),AND(OR(E482="CASH",E482="DAY CHEQUE",E482="POST DATED CHQ"),I482&lt;&gt;TRUE),AND(OR(E482="CASH",E482="DAY CHEQUE",E482="POST DATED CHQ"),K482&lt;&gt;TRUE),AND(E482="POST DATED CHQ",ISBLANK(M482)),P482=TRUE,Q482=TRUE,AND(R482=TRUE,OR(ISBLANK(S482),ISBLANK(T482))),AND(E482="ONLINE",V482&lt;&gt;TRUE),AND(I482=TRUE,U482&lt;&gt;TRUE)),TRUE,FALSE)</x:f>
      </x:c>
      <x:c r="X482" s="22" t="n"/>
    </x:row>
    <x:row r="483">
      <x:c r="A483" s="22" t="n"/>
      <x:c r="B483" s="22" t="n"/>
      <x:c r="C483" s="22" t="n"/>
      <x:c r="D483" s="22" t="n"/>
      <x:c r="E483" s="22" t="n"/>
      <x:c r="F483" s="23" t="n"/>
      <x:c r="G483" s="23" t="n"/>
      <x:c r="H483" s="24">
        <x:f>IF(OR(ISBLANK(F483),ISBLANK(G483)),"",G483-F483)</x:f>
      </x:c>
      <x:c r="I483" s="25" t="n"/>
      <x:c r="J483" s="25" t="n"/>
      <x:c r="K483" s="25" t="n"/>
      <x:c r="L483" s="22" t="n"/>
      <x:c r="M483" s="22" t="n"/>
      <x:c r="N483" s="22" t="n"/>
      <x:c r="O483" s="22" t="n"/>
      <x:c r="P483" s="25" t="n"/>
      <x:c r="Q483" s="25" t="n"/>
      <x:c r="R483" s="25" t="n"/>
      <x:c r="S483" s="22" t="n"/>
      <x:c r="T483" s="23" t="n"/>
      <x:c r="U483" s="25" t="n"/>
      <x:c r="V483" s="25" t="n"/>
      <x:c r="W483" s="25">
        <x:f>IF(OR(AND(OR(O483="DELIVERED",O483="PARTIAL"),J483&lt;&gt;TRUE),AND(OR(E483="CASH",E483="DAY CHEQUE",E483="POST DATED CHQ"),I483&lt;&gt;TRUE),AND(OR(E483="CASH",E483="DAY CHEQUE",E483="POST DATED CHQ"),K483&lt;&gt;TRUE),AND(E483="POST DATED CHQ",ISBLANK(M483)),P483=TRUE,Q483=TRUE,AND(R483=TRUE,OR(ISBLANK(S483),ISBLANK(T483))),AND(E483="ONLINE",V483&lt;&gt;TRUE),AND(I483=TRUE,U483&lt;&gt;TRUE)),TRUE,FALSE)</x:f>
      </x:c>
      <x:c r="X483" s="22" t="n"/>
    </x:row>
    <x:row r="484">
      <x:c r="A484" s="22" t="n"/>
      <x:c r="B484" s="22" t="n"/>
      <x:c r="C484" s="22" t="n"/>
      <x:c r="D484" s="22" t="n"/>
      <x:c r="E484" s="22" t="n"/>
      <x:c r="F484" s="23" t="n"/>
      <x:c r="G484" s="23" t="n"/>
      <x:c r="H484" s="24">
        <x:f>IF(OR(ISBLANK(F484),ISBLANK(G484)),"",G484-F484)</x:f>
      </x:c>
      <x:c r="I484" s="25" t="n"/>
      <x:c r="J484" s="25" t="n"/>
      <x:c r="K484" s="25" t="n"/>
      <x:c r="L484" s="22" t="n"/>
      <x:c r="M484" s="22" t="n"/>
      <x:c r="N484" s="22" t="n"/>
      <x:c r="O484" s="22" t="n"/>
      <x:c r="P484" s="25" t="n"/>
      <x:c r="Q484" s="25" t="n"/>
      <x:c r="R484" s="25" t="n"/>
      <x:c r="S484" s="22" t="n"/>
      <x:c r="T484" s="23" t="n"/>
      <x:c r="U484" s="25" t="n"/>
      <x:c r="V484" s="25" t="n"/>
      <x:c r="W484" s="25">
        <x:f>IF(OR(AND(OR(O484="DELIVERED",O484="PARTIAL"),J484&lt;&gt;TRUE),AND(OR(E484="CASH",E484="DAY CHEQUE",E484="POST DATED CHQ"),I484&lt;&gt;TRUE),AND(OR(E484="CASH",E484="DAY CHEQUE",E484="POST DATED CHQ"),K484&lt;&gt;TRUE),AND(E484="POST DATED CHQ",ISBLANK(M484)),P484=TRUE,Q484=TRUE,AND(R484=TRUE,OR(ISBLANK(S484),ISBLANK(T484))),AND(E484="ONLINE",V484&lt;&gt;TRUE),AND(I484=TRUE,U484&lt;&gt;TRUE)),TRUE,FALSE)</x:f>
      </x:c>
      <x:c r="X484" s="22" t="n"/>
    </x:row>
    <x:row r="485">
      <x:c r="A485" s="22" t="n"/>
      <x:c r="B485" s="22" t="n"/>
      <x:c r="C485" s="22" t="n"/>
      <x:c r="D485" s="22" t="n"/>
      <x:c r="E485" s="22" t="n"/>
      <x:c r="F485" s="23" t="n"/>
      <x:c r="G485" s="23" t="n"/>
      <x:c r="H485" s="24">
        <x:f>IF(OR(ISBLANK(F485),ISBLANK(G485)),"",G485-F485)</x:f>
      </x:c>
      <x:c r="I485" s="25" t="n"/>
      <x:c r="J485" s="25" t="n"/>
      <x:c r="K485" s="25" t="n"/>
      <x:c r="L485" s="22" t="n"/>
      <x:c r="M485" s="22" t="n"/>
      <x:c r="N485" s="22" t="n"/>
      <x:c r="O485" s="22" t="n"/>
      <x:c r="P485" s="25" t="n"/>
      <x:c r="Q485" s="25" t="n"/>
      <x:c r="R485" s="25" t="n"/>
      <x:c r="S485" s="22" t="n"/>
      <x:c r="T485" s="23" t="n"/>
      <x:c r="U485" s="25" t="n"/>
      <x:c r="V485" s="25" t="n"/>
      <x:c r="W485" s="25">
        <x:f>IF(OR(AND(OR(O485="DELIVERED",O485="PARTIAL"),J485&lt;&gt;TRUE),AND(OR(E485="CASH",E485="DAY CHEQUE",E485="POST DATED CHQ"),I485&lt;&gt;TRUE),AND(OR(E485="CASH",E485="DAY CHEQUE",E485="POST DATED CHQ"),K485&lt;&gt;TRUE),AND(E485="POST DATED CHQ",ISBLANK(M485)),P485=TRUE,Q485=TRUE,AND(R485=TRUE,OR(ISBLANK(S485),ISBLANK(T485))),AND(E485="ONLINE",V485&lt;&gt;TRUE),AND(I485=TRUE,U485&lt;&gt;TRUE)),TRUE,FALSE)</x:f>
      </x:c>
      <x:c r="X485" s="22" t="n"/>
    </x:row>
    <x:row r="486">
      <x:c r="A486" s="22" t="n"/>
      <x:c r="B486" s="22" t="n"/>
      <x:c r="C486" s="22" t="n"/>
      <x:c r="D486" s="22" t="n"/>
      <x:c r="E486" s="22" t="n"/>
      <x:c r="F486" s="23" t="n"/>
      <x:c r="G486" s="23" t="n"/>
      <x:c r="H486" s="24">
        <x:f>IF(OR(ISBLANK(F486),ISBLANK(G486)),"",G486-F486)</x:f>
      </x:c>
      <x:c r="I486" s="25" t="n"/>
      <x:c r="J486" s="25" t="n"/>
      <x:c r="K486" s="25" t="n"/>
      <x:c r="L486" s="22" t="n"/>
      <x:c r="M486" s="22" t="n"/>
      <x:c r="N486" s="22" t="n"/>
      <x:c r="O486" s="22" t="n"/>
      <x:c r="P486" s="25" t="n"/>
      <x:c r="Q486" s="25" t="n"/>
      <x:c r="R486" s="25" t="n"/>
      <x:c r="S486" s="22" t="n"/>
      <x:c r="T486" s="23" t="n"/>
      <x:c r="U486" s="25" t="n"/>
      <x:c r="V486" s="25" t="n"/>
      <x:c r="W486" s="25">
        <x:f>IF(OR(AND(OR(O486="DELIVERED",O486="PARTIAL"),J486&lt;&gt;TRUE),AND(OR(E486="CASH",E486="DAY CHEQUE",E486="POST DATED CHQ"),I486&lt;&gt;TRUE),AND(OR(E486="CASH",E486="DAY CHEQUE",E486="POST DATED CHQ"),K486&lt;&gt;TRUE),AND(E486="POST DATED CHQ",ISBLANK(M486)),P486=TRUE,Q486=TRUE,AND(R486=TRUE,OR(ISBLANK(S486),ISBLANK(T486))),AND(E486="ONLINE",V486&lt;&gt;TRUE),AND(I486=TRUE,U486&lt;&gt;TRUE)),TRUE,FALSE)</x:f>
      </x:c>
      <x:c r="X486" s="22" t="n"/>
    </x:row>
    <x:row r="487">
      <x:c r="A487" s="22" t="n"/>
      <x:c r="B487" s="22" t="n"/>
      <x:c r="C487" s="22" t="n"/>
      <x:c r="D487" s="22" t="n"/>
      <x:c r="E487" s="22" t="n"/>
      <x:c r="F487" s="23" t="n"/>
      <x:c r="G487" s="23" t="n"/>
      <x:c r="H487" s="24">
        <x:f>IF(OR(ISBLANK(F487),ISBLANK(G487)),"",G487-F487)</x:f>
      </x:c>
      <x:c r="I487" s="25" t="n"/>
      <x:c r="J487" s="25" t="n"/>
      <x:c r="K487" s="25" t="n"/>
      <x:c r="L487" s="22" t="n"/>
      <x:c r="M487" s="22" t="n"/>
      <x:c r="N487" s="22" t="n"/>
      <x:c r="O487" s="22" t="n"/>
      <x:c r="P487" s="25" t="n"/>
      <x:c r="Q487" s="25" t="n"/>
      <x:c r="R487" s="25" t="n"/>
      <x:c r="S487" s="22" t="n"/>
      <x:c r="T487" s="23" t="n"/>
      <x:c r="U487" s="25" t="n"/>
      <x:c r="V487" s="25" t="n"/>
      <x:c r="W487" s="25">
        <x:f>IF(OR(AND(OR(O487="DELIVERED",O487="PARTIAL"),J487&lt;&gt;TRUE),AND(OR(E487="CASH",E487="DAY CHEQUE",E487="POST DATED CHQ"),I487&lt;&gt;TRUE),AND(OR(E487="CASH",E487="DAY CHEQUE",E487="POST DATED CHQ"),K487&lt;&gt;TRUE),AND(E487="POST DATED CHQ",ISBLANK(M487)),P487=TRUE,Q487=TRUE,AND(R487=TRUE,OR(ISBLANK(S487),ISBLANK(T487))),AND(E487="ONLINE",V487&lt;&gt;TRUE),AND(I487=TRUE,U487&lt;&gt;TRUE)),TRUE,FALSE)</x:f>
      </x:c>
      <x:c r="X487" s="22" t="n"/>
    </x:row>
    <x:row r="488">
      <x:c r="A488" s="22" t="n"/>
      <x:c r="B488" s="22" t="n"/>
      <x:c r="C488" s="22" t="n"/>
      <x:c r="D488" s="22" t="n"/>
      <x:c r="E488" s="22" t="n"/>
      <x:c r="F488" s="23" t="n"/>
      <x:c r="G488" s="23" t="n"/>
      <x:c r="H488" s="24">
        <x:f>IF(OR(ISBLANK(F488),ISBLANK(G488)),"",G488-F488)</x:f>
      </x:c>
      <x:c r="I488" s="25" t="n"/>
      <x:c r="J488" s="25" t="n"/>
      <x:c r="K488" s="25" t="n"/>
      <x:c r="L488" s="22" t="n"/>
      <x:c r="M488" s="22" t="n"/>
      <x:c r="N488" s="22" t="n"/>
      <x:c r="O488" s="22" t="n"/>
      <x:c r="P488" s="25" t="n"/>
      <x:c r="Q488" s="25" t="n"/>
      <x:c r="R488" s="25" t="n"/>
      <x:c r="S488" s="22" t="n"/>
      <x:c r="T488" s="23" t="n"/>
      <x:c r="U488" s="25" t="n"/>
      <x:c r="V488" s="25" t="n"/>
      <x:c r="W488" s="25">
        <x:f>IF(OR(AND(OR(O488="DELIVERED",O488="PARTIAL"),J488&lt;&gt;TRUE),AND(OR(E488="CASH",E488="DAY CHEQUE",E488="POST DATED CHQ"),I488&lt;&gt;TRUE),AND(OR(E488="CASH",E488="DAY CHEQUE",E488="POST DATED CHQ"),K488&lt;&gt;TRUE),AND(E488="POST DATED CHQ",ISBLANK(M488)),P488=TRUE,Q488=TRUE,AND(R488=TRUE,OR(ISBLANK(S488),ISBLANK(T488))),AND(E488="ONLINE",V488&lt;&gt;TRUE),AND(I488=TRUE,U488&lt;&gt;TRUE)),TRUE,FALSE)</x:f>
      </x:c>
      <x:c r="X488" s="22" t="n"/>
    </x:row>
    <x:row r="489">
      <x:c r="A489" s="22" t="n"/>
      <x:c r="B489" s="22" t="n"/>
      <x:c r="C489" s="22" t="n"/>
      <x:c r="D489" s="22" t="n"/>
      <x:c r="E489" s="22" t="n"/>
      <x:c r="F489" s="23" t="n"/>
      <x:c r="G489" s="23" t="n"/>
      <x:c r="H489" s="24">
        <x:f>IF(OR(ISBLANK(F489),ISBLANK(G489)),"",G489-F489)</x:f>
      </x:c>
      <x:c r="I489" s="25" t="n"/>
      <x:c r="J489" s="25" t="n"/>
      <x:c r="K489" s="25" t="n"/>
      <x:c r="L489" s="22" t="n"/>
      <x:c r="M489" s="22" t="n"/>
      <x:c r="N489" s="22" t="n"/>
      <x:c r="O489" s="22" t="n"/>
      <x:c r="P489" s="25" t="n"/>
      <x:c r="Q489" s="25" t="n"/>
      <x:c r="R489" s="25" t="n"/>
      <x:c r="S489" s="22" t="n"/>
      <x:c r="T489" s="23" t="n"/>
      <x:c r="U489" s="25" t="n"/>
      <x:c r="V489" s="25" t="n"/>
      <x:c r="W489" s="25">
        <x:f>IF(OR(AND(OR(O489="DELIVERED",O489="PARTIAL"),J489&lt;&gt;TRUE),AND(OR(E489="CASH",E489="DAY CHEQUE",E489="POST DATED CHQ"),I489&lt;&gt;TRUE),AND(OR(E489="CASH",E489="DAY CHEQUE",E489="POST DATED CHQ"),K489&lt;&gt;TRUE),AND(E489="POST DATED CHQ",ISBLANK(M489)),P489=TRUE,Q489=TRUE,AND(R489=TRUE,OR(ISBLANK(S489),ISBLANK(T489))),AND(E489="ONLINE",V489&lt;&gt;TRUE),AND(I489=TRUE,U489&lt;&gt;TRUE)),TRUE,FALSE)</x:f>
      </x:c>
      <x:c r="X489" s="22" t="n"/>
    </x:row>
    <x:row r="490">
      <x:c r="A490" s="22" t="n"/>
      <x:c r="B490" s="22" t="n"/>
      <x:c r="C490" s="22" t="n"/>
      <x:c r="D490" s="22" t="n"/>
      <x:c r="E490" s="22" t="n"/>
      <x:c r="F490" s="23" t="n"/>
      <x:c r="G490" s="23" t="n"/>
      <x:c r="H490" s="24">
        <x:f>IF(OR(ISBLANK(F490),ISBLANK(G490)),"",G490-F490)</x:f>
      </x:c>
      <x:c r="I490" s="25" t="n"/>
      <x:c r="J490" s="25" t="n"/>
      <x:c r="K490" s="25" t="n"/>
      <x:c r="L490" s="22" t="n"/>
      <x:c r="M490" s="22" t="n"/>
      <x:c r="N490" s="22" t="n"/>
      <x:c r="O490" s="22" t="n"/>
      <x:c r="P490" s="25" t="n"/>
      <x:c r="Q490" s="25" t="n"/>
      <x:c r="R490" s="25" t="n"/>
      <x:c r="S490" s="22" t="n"/>
      <x:c r="T490" s="23" t="n"/>
      <x:c r="U490" s="25" t="n"/>
      <x:c r="V490" s="25" t="n"/>
      <x:c r="W490" s="25">
        <x:f>IF(OR(AND(OR(O490="DELIVERED",O490="PARTIAL"),J490&lt;&gt;TRUE),AND(OR(E490="CASH",E490="DAY CHEQUE",E490="POST DATED CHQ"),I490&lt;&gt;TRUE),AND(OR(E490="CASH",E490="DAY CHEQUE",E490="POST DATED CHQ"),K490&lt;&gt;TRUE),AND(E490="POST DATED CHQ",ISBLANK(M490)),P490=TRUE,Q490=TRUE,AND(R490=TRUE,OR(ISBLANK(S490),ISBLANK(T490))),AND(E490="ONLINE",V490&lt;&gt;TRUE),AND(I490=TRUE,U490&lt;&gt;TRUE)),TRUE,FALSE)</x:f>
      </x:c>
      <x:c r="X490" s="22" t="n"/>
    </x:row>
    <x:row r="491">
      <x:c r="A491" s="22" t="n"/>
      <x:c r="B491" s="22" t="n"/>
      <x:c r="C491" s="22" t="n"/>
      <x:c r="D491" s="22" t="n"/>
      <x:c r="E491" s="22" t="n"/>
      <x:c r="F491" s="23" t="n"/>
      <x:c r="G491" s="23" t="n"/>
      <x:c r="H491" s="24">
        <x:f>IF(OR(ISBLANK(F491),ISBLANK(G491)),"",G491-F491)</x:f>
      </x:c>
      <x:c r="I491" s="25" t="n"/>
      <x:c r="J491" s="25" t="n"/>
      <x:c r="K491" s="25" t="n"/>
      <x:c r="L491" s="22" t="n"/>
      <x:c r="M491" s="22" t="n"/>
      <x:c r="N491" s="22" t="n"/>
      <x:c r="O491" s="22" t="n"/>
      <x:c r="P491" s="25" t="n"/>
      <x:c r="Q491" s="25" t="n"/>
      <x:c r="R491" s="25" t="n"/>
      <x:c r="S491" s="22" t="n"/>
      <x:c r="T491" s="23" t="n"/>
      <x:c r="U491" s="25" t="n"/>
      <x:c r="V491" s="25" t="n"/>
      <x:c r="W491" s="25">
        <x:f>IF(OR(AND(OR(O491="DELIVERED",O491="PARTIAL"),J491&lt;&gt;TRUE),AND(OR(E491="CASH",E491="DAY CHEQUE",E491="POST DATED CHQ"),I491&lt;&gt;TRUE),AND(OR(E491="CASH",E491="DAY CHEQUE",E491="POST DATED CHQ"),K491&lt;&gt;TRUE),AND(E491="POST DATED CHQ",ISBLANK(M491)),P491=TRUE,Q491=TRUE,AND(R491=TRUE,OR(ISBLANK(S491),ISBLANK(T491))),AND(E491="ONLINE",V491&lt;&gt;TRUE),AND(I491=TRUE,U491&lt;&gt;TRUE)),TRUE,FALSE)</x:f>
      </x:c>
      <x:c r="X491" s="22" t="n"/>
    </x:row>
    <x:row r="492">
      <x:c r="A492" s="22" t="n"/>
      <x:c r="B492" s="22" t="n"/>
      <x:c r="C492" s="22" t="n"/>
      <x:c r="D492" s="22" t="n"/>
      <x:c r="E492" s="22" t="n"/>
      <x:c r="F492" s="23" t="n"/>
      <x:c r="G492" s="23" t="n"/>
      <x:c r="H492" s="24">
        <x:f>IF(OR(ISBLANK(F492),ISBLANK(G492)),"",G492-F492)</x:f>
      </x:c>
      <x:c r="I492" s="25" t="n"/>
      <x:c r="J492" s="25" t="n"/>
      <x:c r="K492" s="25" t="n"/>
      <x:c r="L492" s="22" t="n"/>
      <x:c r="M492" s="22" t="n"/>
      <x:c r="N492" s="22" t="n"/>
      <x:c r="O492" s="22" t="n"/>
      <x:c r="P492" s="25" t="n"/>
      <x:c r="Q492" s="25" t="n"/>
      <x:c r="R492" s="25" t="n"/>
      <x:c r="S492" s="22" t="n"/>
      <x:c r="T492" s="23" t="n"/>
      <x:c r="U492" s="25" t="n"/>
      <x:c r="V492" s="25" t="n"/>
      <x:c r="W492" s="25">
        <x:f>IF(OR(AND(OR(O492="DELIVERED",O492="PARTIAL"),J492&lt;&gt;TRUE),AND(OR(E492="CASH",E492="DAY CHEQUE",E492="POST DATED CHQ"),I492&lt;&gt;TRUE),AND(OR(E492="CASH",E492="DAY CHEQUE",E492="POST DATED CHQ"),K492&lt;&gt;TRUE),AND(E492="POST DATED CHQ",ISBLANK(M492)),P492=TRUE,Q492=TRUE,AND(R492=TRUE,OR(ISBLANK(S492),ISBLANK(T492))),AND(E492="ONLINE",V492&lt;&gt;TRUE),AND(I492=TRUE,U492&lt;&gt;TRUE)),TRUE,FALSE)</x:f>
      </x:c>
      <x:c r="X492" s="22" t="n"/>
    </x:row>
    <x:row r="493">
      <x:c r="A493" s="22" t="n"/>
      <x:c r="B493" s="22" t="n"/>
      <x:c r="C493" s="22" t="n"/>
      <x:c r="D493" s="22" t="n"/>
      <x:c r="E493" s="22" t="n"/>
      <x:c r="F493" s="23" t="n"/>
      <x:c r="G493" s="23" t="n"/>
      <x:c r="H493" s="24">
        <x:f>IF(OR(ISBLANK(F493),ISBLANK(G493)),"",G493-F493)</x:f>
      </x:c>
      <x:c r="I493" s="25" t="n"/>
      <x:c r="J493" s="25" t="n"/>
      <x:c r="K493" s="25" t="n"/>
      <x:c r="L493" s="22" t="n"/>
      <x:c r="M493" s="22" t="n"/>
      <x:c r="N493" s="22" t="n"/>
      <x:c r="O493" s="22" t="n"/>
      <x:c r="P493" s="25" t="n"/>
      <x:c r="Q493" s="25" t="n"/>
      <x:c r="R493" s="25" t="n"/>
      <x:c r="S493" s="22" t="n"/>
      <x:c r="T493" s="23" t="n"/>
      <x:c r="U493" s="25" t="n"/>
      <x:c r="V493" s="25" t="n"/>
      <x:c r="W493" s="25">
        <x:f>IF(OR(AND(OR(O493="DELIVERED",O493="PARTIAL"),J493&lt;&gt;TRUE),AND(OR(E493="CASH",E493="DAY CHEQUE",E493="POST DATED CHQ"),I493&lt;&gt;TRUE),AND(OR(E493="CASH",E493="DAY CHEQUE",E493="POST DATED CHQ"),K493&lt;&gt;TRUE),AND(E493="POST DATED CHQ",ISBLANK(M493)),P493=TRUE,Q493=TRUE,AND(R493=TRUE,OR(ISBLANK(S493),ISBLANK(T493))),AND(E493="ONLINE",V493&lt;&gt;TRUE),AND(I493=TRUE,U493&lt;&gt;TRUE)),TRUE,FALSE)</x:f>
      </x:c>
      <x:c r="X493" s="22" t="n"/>
    </x:row>
    <x:row r="494">
      <x:c r="A494" s="22" t="n"/>
      <x:c r="B494" s="22" t="n"/>
      <x:c r="C494" s="22" t="n"/>
      <x:c r="D494" s="22" t="n"/>
      <x:c r="E494" s="22" t="n"/>
      <x:c r="F494" s="23" t="n"/>
      <x:c r="G494" s="23" t="n"/>
      <x:c r="H494" s="24">
        <x:f>IF(OR(ISBLANK(F494),ISBLANK(G494)),"",G494-F494)</x:f>
      </x:c>
      <x:c r="I494" s="25" t="n"/>
      <x:c r="J494" s="25" t="n"/>
      <x:c r="K494" s="25" t="n"/>
      <x:c r="L494" s="22" t="n"/>
      <x:c r="M494" s="22" t="n"/>
      <x:c r="N494" s="22" t="n"/>
      <x:c r="O494" s="22" t="n"/>
      <x:c r="P494" s="25" t="n"/>
      <x:c r="Q494" s="25" t="n"/>
      <x:c r="R494" s="25" t="n"/>
      <x:c r="S494" s="22" t="n"/>
      <x:c r="T494" s="23" t="n"/>
      <x:c r="U494" s="25" t="n"/>
      <x:c r="V494" s="25" t="n"/>
      <x:c r="W494" s="25">
        <x:f>IF(OR(AND(OR(O494="DELIVERED",O494="PARTIAL"),J494&lt;&gt;TRUE),AND(OR(E494="CASH",E494="DAY CHEQUE",E494="POST DATED CHQ"),I494&lt;&gt;TRUE),AND(OR(E494="CASH",E494="DAY CHEQUE",E494="POST DATED CHQ"),K494&lt;&gt;TRUE),AND(E494="POST DATED CHQ",ISBLANK(M494)),P494=TRUE,Q494=TRUE,AND(R494=TRUE,OR(ISBLANK(S494),ISBLANK(T494))),AND(E494="ONLINE",V494&lt;&gt;TRUE),AND(I494=TRUE,U494&lt;&gt;TRUE)),TRUE,FALSE)</x:f>
      </x:c>
      <x:c r="X494" s="22" t="n"/>
    </x:row>
    <x:row r="495">
      <x:c r="A495" s="22" t="n"/>
      <x:c r="B495" s="22" t="n"/>
      <x:c r="C495" s="22" t="n"/>
      <x:c r="D495" s="22" t="n"/>
      <x:c r="E495" s="22" t="n"/>
      <x:c r="F495" s="23" t="n"/>
      <x:c r="G495" s="23" t="n"/>
      <x:c r="H495" s="24">
        <x:f>IF(OR(ISBLANK(F495),ISBLANK(G495)),"",G495-F495)</x:f>
      </x:c>
      <x:c r="I495" s="25" t="n"/>
      <x:c r="J495" s="25" t="n"/>
      <x:c r="K495" s="25" t="n"/>
      <x:c r="L495" s="22" t="n"/>
      <x:c r="M495" s="22" t="n"/>
      <x:c r="N495" s="22" t="n"/>
      <x:c r="O495" s="22" t="n"/>
      <x:c r="P495" s="25" t="n"/>
      <x:c r="Q495" s="25" t="n"/>
      <x:c r="R495" s="25" t="n"/>
      <x:c r="S495" s="22" t="n"/>
      <x:c r="T495" s="23" t="n"/>
      <x:c r="U495" s="25" t="n"/>
      <x:c r="V495" s="25" t="n"/>
      <x:c r="W495" s="25">
        <x:f>IF(OR(AND(OR(O495="DELIVERED",O495="PARTIAL"),J495&lt;&gt;TRUE),AND(OR(E495="CASH",E495="DAY CHEQUE",E495="POST DATED CHQ"),I495&lt;&gt;TRUE),AND(OR(E495="CASH",E495="DAY CHEQUE",E495="POST DATED CHQ"),K495&lt;&gt;TRUE),AND(E495="POST DATED CHQ",ISBLANK(M495)),P495=TRUE,Q495=TRUE,AND(R495=TRUE,OR(ISBLANK(S495),ISBLANK(T495))),AND(E495="ONLINE",V495&lt;&gt;TRUE),AND(I495=TRUE,U495&lt;&gt;TRUE)),TRUE,FALSE)</x:f>
      </x:c>
      <x:c r="X495" s="22" t="n"/>
    </x:row>
    <x:row r="496">
      <x:c r="A496" s="22" t="n"/>
      <x:c r="B496" s="22" t="n"/>
      <x:c r="C496" s="22" t="n"/>
      <x:c r="D496" s="22" t="n"/>
      <x:c r="E496" s="22" t="n"/>
      <x:c r="F496" s="23" t="n"/>
      <x:c r="G496" s="23" t="n"/>
      <x:c r="H496" s="24">
        <x:f>IF(OR(ISBLANK(F496),ISBLANK(G496)),"",G496-F496)</x:f>
      </x:c>
      <x:c r="I496" s="25" t="n"/>
      <x:c r="J496" s="25" t="n"/>
      <x:c r="K496" s="25" t="n"/>
      <x:c r="L496" s="22" t="n"/>
      <x:c r="M496" s="22" t="n"/>
      <x:c r="N496" s="22" t="n"/>
      <x:c r="O496" s="22" t="n"/>
      <x:c r="P496" s="25" t="n"/>
      <x:c r="Q496" s="25" t="n"/>
      <x:c r="R496" s="25" t="n"/>
      <x:c r="S496" s="22" t="n"/>
      <x:c r="T496" s="23" t="n"/>
      <x:c r="U496" s="25" t="n"/>
      <x:c r="V496" s="25" t="n"/>
      <x:c r="W496" s="25">
        <x:f>IF(OR(AND(OR(O496="DELIVERED",O496="PARTIAL"),J496&lt;&gt;TRUE),AND(OR(E496="CASH",E496="DAY CHEQUE",E496="POST DATED CHQ"),I496&lt;&gt;TRUE),AND(OR(E496="CASH",E496="DAY CHEQUE",E496="POST DATED CHQ"),K496&lt;&gt;TRUE),AND(E496="POST DATED CHQ",ISBLANK(M496)),P496=TRUE,Q496=TRUE,AND(R496=TRUE,OR(ISBLANK(S496),ISBLANK(T496))),AND(E496="ONLINE",V496&lt;&gt;TRUE),AND(I496=TRUE,U496&lt;&gt;TRUE)),TRUE,FALSE)</x:f>
      </x:c>
      <x:c r="X496" s="22" t="n"/>
    </x:row>
    <x:row r="497">
      <x:c r="A497" s="22" t="n"/>
      <x:c r="B497" s="22" t="n"/>
      <x:c r="C497" s="22" t="n"/>
      <x:c r="D497" s="22" t="n"/>
      <x:c r="E497" s="22" t="n"/>
      <x:c r="F497" s="23" t="n"/>
      <x:c r="G497" s="23" t="n"/>
      <x:c r="H497" s="24">
        <x:f>IF(OR(ISBLANK(F497),ISBLANK(G497)),"",G497-F497)</x:f>
      </x:c>
      <x:c r="I497" s="25" t="n"/>
      <x:c r="J497" s="25" t="n"/>
      <x:c r="K497" s="25" t="n"/>
      <x:c r="L497" s="22" t="n"/>
      <x:c r="M497" s="22" t="n"/>
      <x:c r="N497" s="22" t="n"/>
      <x:c r="O497" s="22" t="n"/>
      <x:c r="P497" s="25" t="n"/>
      <x:c r="Q497" s="25" t="n"/>
      <x:c r="R497" s="25" t="n"/>
      <x:c r="S497" s="22" t="n"/>
      <x:c r="T497" s="23" t="n"/>
      <x:c r="U497" s="25" t="n"/>
      <x:c r="V497" s="25" t="n"/>
      <x:c r="W497" s="25">
        <x:f>IF(OR(AND(OR(O497="DELIVERED",O497="PARTIAL"),J497&lt;&gt;TRUE),AND(OR(E497="CASH",E497="DAY CHEQUE",E497="POST DATED CHQ"),I497&lt;&gt;TRUE),AND(OR(E497="CASH",E497="DAY CHEQUE",E497="POST DATED CHQ"),K497&lt;&gt;TRUE),AND(E497="POST DATED CHQ",ISBLANK(M497)),P497=TRUE,Q497=TRUE,AND(R497=TRUE,OR(ISBLANK(S497),ISBLANK(T497))),AND(E497="ONLINE",V497&lt;&gt;TRUE),AND(I497=TRUE,U497&lt;&gt;TRUE)),TRUE,FALSE)</x:f>
      </x:c>
      <x:c r="X497" s="22" t="n"/>
    </x:row>
    <x:row r="498">
      <x:c r="A498" s="22" t="n"/>
      <x:c r="B498" s="22" t="n"/>
      <x:c r="C498" s="22" t="n"/>
      <x:c r="D498" s="22" t="n"/>
      <x:c r="E498" s="22" t="n"/>
      <x:c r="F498" s="23" t="n"/>
      <x:c r="G498" s="23" t="n"/>
      <x:c r="H498" s="24">
        <x:f>IF(OR(ISBLANK(F498),ISBLANK(G498)),"",G498-F498)</x:f>
      </x:c>
      <x:c r="I498" s="25" t="n"/>
      <x:c r="J498" s="25" t="n"/>
      <x:c r="K498" s="25" t="n"/>
      <x:c r="L498" s="22" t="n"/>
      <x:c r="M498" s="22" t="n"/>
      <x:c r="N498" s="22" t="n"/>
      <x:c r="O498" s="22" t="n"/>
      <x:c r="P498" s="25" t="n"/>
      <x:c r="Q498" s="25" t="n"/>
      <x:c r="R498" s="25" t="n"/>
      <x:c r="S498" s="22" t="n"/>
      <x:c r="T498" s="23" t="n"/>
      <x:c r="U498" s="25" t="n"/>
      <x:c r="V498" s="25" t="n"/>
      <x:c r="W498" s="25">
        <x:f>IF(OR(AND(OR(O498="DELIVERED",O498="PARTIAL"),J498&lt;&gt;TRUE),AND(OR(E498="CASH",E498="DAY CHEQUE",E498="POST DATED CHQ"),I498&lt;&gt;TRUE),AND(OR(E498="CASH",E498="DAY CHEQUE",E498="POST DATED CHQ"),K498&lt;&gt;TRUE),AND(E498="POST DATED CHQ",ISBLANK(M498)),P498=TRUE,Q498=TRUE,AND(R498=TRUE,OR(ISBLANK(S498),ISBLANK(T498))),AND(E498="ONLINE",V498&lt;&gt;TRUE),AND(I498=TRUE,U498&lt;&gt;TRUE)),TRUE,FALSE)</x:f>
      </x:c>
      <x:c r="X498" s="22" t="n"/>
    </x:row>
    <x:row r="499">
      <x:c r="A499" s="22" t="n"/>
      <x:c r="B499" s="22" t="n"/>
      <x:c r="C499" s="22" t="n"/>
      <x:c r="D499" s="22" t="n"/>
      <x:c r="E499" s="22" t="n"/>
      <x:c r="F499" s="23" t="n"/>
      <x:c r="G499" s="23" t="n"/>
      <x:c r="H499" s="24">
        <x:f>IF(OR(ISBLANK(F499),ISBLANK(G499)),"",G499-F499)</x:f>
      </x:c>
      <x:c r="I499" s="25" t="n"/>
      <x:c r="J499" s="25" t="n"/>
      <x:c r="K499" s="25" t="n"/>
      <x:c r="L499" s="22" t="n"/>
      <x:c r="M499" s="22" t="n"/>
      <x:c r="N499" s="22" t="n"/>
      <x:c r="O499" s="22" t="n"/>
      <x:c r="P499" s="25" t="n"/>
      <x:c r="Q499" s="25" t="n"/>
      <x:c r="R499" s="25" t="n"/>
      <x:c r="S499" s="22" t="n"/>
      <x:c r="T499" s="23" t="n"/>
      <x:c r="U499" s="25" t="n"/>
      <x:c r="V499" s="25" t="n"/>
      <x:c r="W499" s="25">
        <x:f>IF(OR(AND(OR(O499="DELIVERED",O499="PARTIAL"),J499&lt;&gt;TRUE),AND(OR(E499="CASH",E499="DAY CHEQUE",E499="POST DATED CHQ"),I499&lt;&gt;TRUE),AND(OR(E499="CASH",E499="DAY CHEQUE",E499="POST DATED CHQ"),K499&lt;&gt;TRUE),AND(E499="POST DATED CHQ",ISBLANK(M499)),P499=TRUE,Q499=TRUE,AND(R499=TRUE,OR(ISBLANK(S499),ISBLANK(T499))),AND(E499="ONLINE",V499&lt;&gt;TRUE),AND(I499=TRUE,U499&lt;&gt;TRUE)),TRUE,FALSE)</x:f>
      </x:c>
      <x:c r="X499" s="22" t="n"/>
    </x:row>
    <x:row r="500">
      <x:c r="A500" s="22" t="n"/>
      <x:c r="B500" s="22" t="n"/>
      <x:c r="C500" s="22" t="n"/>
      <x:c r="D500" s="22" t="n"/>
      <x:c r="E500" s="22" t="n"/>
      <x:c r="F500" s="23" t="n"/>
      <x:c r="G500" s="23" t="n"/>
      <x:c r="H500" s="24">
        <x:f>IF(OR(ISBLANK(F500),ISBLANK(G500)),"",G500-F500)</x:f>
      </x:c>
      <x:c r="I500" s="25" t="n"/>
      <x:c r="J500" s="25" t="n"/>
      <x:c r="K500" s="25" t="n"/>
      <x:c r="L500" s="22" t="n"/>
      <x:c r="M500" s="22" t="n"/>
      <x:c r="N500" s="22" t="n"/>
      <x:c r="O500" s="22" t="n"/>
      <x:c r="P500" s="25" t="n"/>
      <x:c r="Q500" s="25" t="n"/>
      <x:c r="R500" s="25" t="n"/>
      <x:c r="S500" s="22" t="n"/>
      <x:c r="T500" s="23" t="n"/>
      <x:c r="U500" s="25" t="n"/>
      <x:c r="V500" s="25" t="n"/>
      <x:c r="W500" s="25">
        <x:f>IF(OR(AND(OR(O500="DELIVERED",O500="PARTIAL"),J500&lt;&gt;TRUE),AND(OR(E500="CASH",E500="DAY CHEQUE",E500="POST DATED CHQ"),I500&lt;&gt;TRUE),AND(OR(E500="CASH",E500="DAY CHEQUE",E500="POST DATED CHQ"),K500&lt;&gt;TRUE),AND(E500="POST DATED CHQ",ISBLANK(M500)),P500=TRUE,Q500=TRUE,AND(R500=TRUE,OR(ISBLANK(S500),ISBLANK(T500))),AND(E500="ONLINE",V500&lt;&gt;TRUE),AND(I500=TRUE,U500&lt;&gt;TRUE)),TRUE,FALSE)</x:f>
      </x:c>
      <x:c r="X500" s="22" t="n"/>
    </x:row>
    <x:row r="501">
      <x:c r="A501" s="22" t="n"/>
      <x:c r="B501" s="22" t="n"/>
      <x:c r="C501" s="22" t="n"/>
      <x:c r="D501" s="22" t="n"/>
      <x:c r="E501" s="22" t="n"/>
      <x:c r="F501" s="23" t="n"/>
      <x:c r="G501" s="23" t="n"/>
      <x:c r="H501" s="24">
        <x:f>IF(OR(ISBLANK(F501),ISBLANK(G501)),"",G501-F501)</x:f>
      </x:c>
      <x:c r="I501" s="25" t="n"/>
      <x:c r="J501" s="25" t="n"/>
      <x:c r="K501" s="25" t="n"/>
      <x:c r="L501" s="22" t="n"/>
      <x:c r="M501" s="22" t="n"/>
      <x:c r="N501" s="22" t="n"/>
      <x:c r="O501" s="22" t="n"/>
      <x:c r="P501" s="25" t="n"/>
      <x:c r="Q501" s="25" t="n"/>
      <x:c r="R501" s="25" t="n"/>
      <x:c r="S501" s="22" t="n"/>
      <x:c r="T501" s="23" t="n"/>
      <x:c r="U501" s="25" t="n"/>
      <x:c r="V501" s="25" t="n"/>
      <x:c r="W501" s="25">
        <x:f>IF(OR(AND(OR(O501="DELIVERED",O501="PARTIAL"),J501&lt;&gt;TRUE),AND(OR(E501="CASH",E501="DAY CHEQUE",E501="POST DATED CHQ"),I501&lt;&gt;TRUE),AND(OR(E501="CASH",E501="DAY CHEQUE",E501="POST DATED CHQ"),K501&lt;&gt;TRUE),AND(E501="POST DATED CHQ",ISBLANK(M501)),P501=TRUE,Q501=TRUE,AND(R501=TRUE,OR(ISBLANK(S501),ISBLANK(T501))),AND(E501="ONLINE",V501&lt;&gt;TRUE),AND(I501=TRUE,U501&lt;&gt;TRUE)),TRUE,FALSE)</x:f>
      </x:c>
      <x:c r="X501" s="22" t="n"/>
    </x:row>
    <x:row r="502">
      <x:c r="A502" s="22" t="n"/>
      <x:c r="B502" s="22" t="n"/>
      <x:c r="C502" s="22" t="n"/>
      <x:c r="D502" s="22" t="n"/>
      <x:c r="E502" s="22" t="n"/>
      <x:c r="F502" s="23" t="n"/>
      <x:c r="G502" s="23" t="n"/>
      <x:c r="H502" s="24">
        <x:f>IF(OR(ISBLANK(F502),ISBLANK(G502)),"",G502-F502)</x:f>
      </x:c>
      <x:c r="I502" s="25" t="n"/>
      <x:c r="J502" s="25" t="n"/>
      <x:c r="K502" s="25" t="n"/>
      <x:c r="L502" s="22" t="n"/>
      <x:c r="M502" s="22" t="n"/>
      <x:c r="N502" s="22" t="n"/>
      <x:c r="O502" s="22" t="n"/>
      <x:c r="P502" s="25" t="n"/>
      <x:c r="Q502" s="25" t="n"/>
      <x:c r="R502" s="25" t="n"/>
      <x:c r="S502" s="22" t="n"/>
      <x:c r="T502" s="23" t="n"/>
      <x:c r="U502" s="25" t="n"/>
      <x:c r="V502" s="25" t="n"/>
      <x:c r="W502" s="25">
        <x:f>IF(OR(AND(OR(O502="DELIVERED",O502="PARTIAL"),J502&lt;&gt;TRUE),AND(OR(E502="CASH",E502="DAY CHEQUE",E502="POST DATED CHQ"),I502&lt;&gt;TRUE),AND(OR(E502="CASH",E502="DAY CHEQUE",E502="POST DATED CHQ"),K502&lt;&gt;TRUE),AND(E502="POST DATED CHQ",ISBLANK(M502)),P502=TRUE,Q502=TRUE,AND(R502=TRUE,OR(ISBLANK(S502),ISBLANK(T502))),AND(E502="ONLINE",V502&lt;&gt;TRUE),AND(I502=TRUE,U502&lt;&gt;TRUE)),TRUE,FALSE)</x:f>
      </x:c>
      <x:c r="X502" s="22" t="n"/>
    </x:row>
    <x:row r="503">
      <x:c r="A503" s="22" t="n"/>
      <x:c r="B503" s="22" t="n"/>
      <x:c r="C503" s="22" t="n"/>
      <x:c r="D503" s="22" t="n"/>
      <x:c r="E503" s="22" t="n"/>
      <x:c r="F503" s="23" t="n"/>
      <x:c r="G503" s="23" t="n"/>
      <x:c r="H503" s="24">
        <x:f>IF(OR(ISBLANK(F503),ISBLANK(G503)),"",G503-F503)</x:f>
      </x:c>
      <x:c r="I503" s="25" t="n"/>
      <x:c r="J503" s="25" t="n"/>
      <x:c r="K503" s="25" t="n"/>
      <x:c r="L503" s="22" t="n"/>
      <x:c r="M503" s="22" t="n"/>
      <x:c r="N503" s="22" t="n"/>
      <x:c r="O503" s="22" t="n"/>
      <x:c r="P503" s="25" t="n"/>
      <x:c r="Q503" s="25" t="n"/>
      <x:c r="R503" s="25" t="n"/>
      <x:c r="S503" s="22" t="n"/>
      <x:c r="T503" s="23" t="n"/>
      <x:c r="U503" s="25" t="n"/>
      <x:c r="V503" s="25" t="n"/>
      <x:c r="W503" s="25">
        <x:f>IF(OR(AND(OR(O503="DELIVERED",O503="PARTIAL"),J503&lt;&gt;TRUE),AND(OR(E503="CASH",E503="DAY CHEQUE",E503="POST DATED CHQ"),I503&lt;&gt;TRUE),AND(OR(E503="CASH",E503="DAY CHEQUE",E503="POST DATED CHQ"),K503&lt;&gt;TRUE),AND(E503="POST DATED CHQ",ISBLANK(M503)),P503=TRUE,Q503=TRUE,AND(R503=TRUE,OR(ISBLANK(S503),ISBLANK(T503))),AND(E503="ONLINE",V503&lt;&gt;TRUE),AND(I503=TRUE,U503&lt;&gt;TRUE)),TRUE,FALSE)</x:f>
      </x:c>
      <x:c r="X503" s="22" t="n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customWidth="1"/>
    <x:col min="2" max="2" width="12" customWidth="1"/>
    <x:col min="3" max="3" width="14" customWidth="1"/>
    <x:col min="4" max="4" width="20" customWidth="1"/>
    <x:col min="5" max="5" width="26" customWidth="1"/>
    <x:col min="6" max="6" width="2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2" customWidth="1"/>
    <x:col min="12" max="12" width="14" customWidth="1"/>
    <x:col min="13" max="13" width="20" customWidth="1"/>
  </x:cols>
  <x:sheetData>
    <x:row r="1" ht="28" customHeight="1">
      <x:c r="A1" s="1" t="inlineStr">
        <x:is>
          <x:t xml:space="preserve">Stop Summary (Template)</x:t>
        </x:is>
      </x:c>
    </x:row>
    <x:row r="3" ht="34" customHeight="1">
      <x:c r="A3" s="21" t="inlineStr">
        <x:is>
          <x:t xml:space="preserve">Stop Seq</x:t>
        </x:is>
      </x:c>
      <x:c r="B3" s="21" t="inlineStr">
        <x:is>
          <x:t xml:space="preserve">Route Stop ID</x:t>
        </x:is>
      </x:c>
      <x:c r="C3" s="21" t="inlineStr">
        <x:is>
          <x:t xml:space="preserve">Customer Code</x:t>
        </x:is>
      </x:c>
      <x:c r="D3" s="21" t="inlineStr">
        <x:is>
          <x:t xml:space="preserve">Stop Name</x:t>
        </x:is>
      </x:c>
      <x:c r="E3" s="21" t="inlineStr">
        <x:is>
          <x:t xml:space="preserve">Stop Address</x:t>
        </x:is>
      </x:c>
      <x:c r="F3" s="21" t="inlineStr">
        <x:is>
          <x:t xml:space="preserve">Stop Status (computed)</x:t>
        </x:is>
      </x:c>
      <x:c r="G3" s="21" t="inlineStr">
        <x:is>
          <x:t xml:space="preserve">Invoices</x:t>
        </x:is>
      </x:c>
      <x:c r="H3" s="21" t="inlineStr">
        <x:is>
          <x:t xml:space="preserve">Delivered</x:t>
        </x:is>
      </x:c>
      <x:c r="I3" s="21" t="inlineStr">
        <x:is>
          <x:t xml:space="preserve">Failed</x:t>
        </x:is>
      </x:c>
      <x:c r="J3" s="21" t="inlineStr">
        <x:is>
          <x:t xml:space="preserve">Partial</x:t>
        </x:is>
      </x:c>
      <x:c r="K3" s="21" t="inlineStr">
        <x:is>
          <x:t xml:space="preserve">Missing PODs</x:t>
        </x:is>
      </x:c>
      <x:c r="L3" s="21" t="inlineStr">
        <x:is>
          <x:t xml:space="preserve">COD Variance €</x:t>
        </x:is>
      </x:c>
      <x:c r="M3" s="21" t="inlineStr">
        <x:is>
          <x:t xml:space="preserve">Notes</x:t>
        </x:is>
      </x:c>
    </x:row>
    <x:row r="4">
      <x:c r="A4" s="22" t="n"/>
      <x:c r="B4" s="22" t="n"/>
      <x:c r="C4" s="22" t="n"/>
      <x:c r="D4" s="22" t="n"/>
      <x:c r="E4" s="22" t="n"/>
      <x:c r="F4" s="26">
        <x:f>IF(A4="","",IF(G4=0,"",IF(H4=G4,"COMPLETED",IF(I4=G4,"FAILED",IF(H4+I4+J4&gt;0,"PARTIAL","IN PROGRESS")))))</x:f>
      </x:c>
      <x:c r="G4" s="26">
        <x:f>IF(A4="","",COUNTIF('Invoice Detail'!$B$4:$B$503,A4))</x:f>
      </x:c>
      <x:c r="H4" s="26">
        <x:f>IF(A4="","",COUNTIFS('Invoice Detail'!$B$4:$B$503,A4,'Invoice Detail'!$O$4:$O$503,"DELIVERED"))</x:f>
      </x:c>
      <x:c r="I4" s="26">
        <x:f>IF(A4="","",COUNTIFS('Invoice Detail'!$B$4:$B$503,A4,'Invoice Detail'!$O$4:$O$503,"FAILED"))</x:f>
      </x:c>
      <x:c r="J4" s="26">
        <x:f>IF(A4="","",COUNTIFS('Invoice Detail'!$B$4:$B$503,A4,'Invoice Detail'!$O$4:$O$503,"PARTIAL"))</x:f>
      </x:c>
      <x:c r="K4" s="26">
        <x:f>IF(A4="","",COUNTIFS('Invoice Detail'!$B$4:$B$503,A4,'Invoice Detail'!$O$4:$O$503,"DELIVERED",'Invoice Detail'!$J$4:$J$503,FALSE)+COUNTIFS('Invoice Detail'!$B$4:$B$503,A4,'Invoice Detail'!$O$4:$O$503,"PARTIAL",'Invoice Detail'!$J$4:$J$503,FALSE))</x:f>
      </x:c>
      <x:c r="L4" s="24">
        <x:f>IF(A4="","",SUMIFS('Invoice Detail'!$H$4:$H$503,'Invoice Detail'!$B$4:$B$503,A4))</x:f>
      </x:c>
      <x:c r="M4" s="22" t="n"/>
    </x:row>
    <x:row r="5">
      <x:c r="A5" s="22" t="n"/>
      <x:c r="B5" s="22" t="n"/>
      <x:c r="C5" s="22" t="n"/>
      <x:c r="D5" s="22" t="n"/>
      <x:c r="E5" s="22" t="n"/>
      <x:c r="F5" s="26">
        <x:f>IF(A5="","",IF(G5=0,"",IF(H5=G5,"COMPLETED",IF(I5=G5,"FAILED",IF(H5+I5+J5&gt;0,"PARTIAL","IN PROGRESS")))))</x:f>
      </x:c>
      <x:c r="G5" s="26">
        <x:f>IF(A5="","",COUNTIF('Invoice Detail'!$B$4:$B$503,A5))</x:f>
      </x:c>
      <x:c r="H5" s="26">
        <x:f>IF(A5="","",COUNTIFS('Invoice Detail'!$B$4:$B$503,A5,'Invoice Detail'!$O$4:$O$503,"DELIVERED"))</x:f>
      </x:c>
      <x:c r="I5" s="26">
        <x:f>IF(A5="","",COUNTIFS('Invoice Detail'!$B$4:$B$503,A5,'Invoice Detail'!$O$4:$O$503,"FAILED"))</x:f>
      </x:c>
      <x:c r="J5" s="26">
        <x:f>IF(A5="","",COUNTIFS('Invoice Detail'!$B$4:$B$503,A5,'Invoice Detail'!$O$4:$O$503,"PARTIAL"))</x:f>
      </x:c>
      <x:c r="K5" s="26">
        <x:f>IF(A5="","",COUNTIFS('Invoice Detail'!$B$4:$B$503,A5,'Invoice Detail'!$O$4:$O$503,"DELIVERED",'Invoice Detail'!$J$4:$J$503,FALSE)+COUNTIFS('Invoice Detail'!$B$4:$B$503,A5,'Invoice Detail'!$O$4:$O$503,"PARTIAL",'Invoice Detail'!$J$4:$J$503,FALSE))</x:f>
      </x:c>
      <x:c r="L5" s="24">
        <x:f>IF(A5="","",SUMIFS('Invoice Detail'!$H$4:$H$503,'Invoice Detail'!$B$4:$B$503,A5))</x:f>
      </x:c>
      <x:c r="M5" s="22" t="n"/>
    </x:row>
    <x:row r="6">
      <x:c r="A6" s="22" t="n"/>
      <x:c r="B6" s="22" t="n"/>
      <x:c r="C6" s="22" t="n"/>
      <x:c r="D6" s="22" t="n"/>
      <x:c r="E6" s="22" t="n"/>
      <x:c r="F6" s="26">
        <x:f>IF(A6="","",IF(G6=0,"",IF(H6=G6,"COMPLETED",IF(I6=G6,"FAILED",IF(H6+I6+J6&gt;0,"PARTIAL","IN PROGRESS")))))</x:f>
      </x:c>
      <x:c r="G6" s="26">
        <x:f>IF(A6="","",COUNTIF('Invoice Detail'!$B$4:$B$503,A6))</x:f>
      </x:c>
      <x:c r="H6" s="26">
        <x:f>IF(A6="","",COUNTIFS('Invoice Detail'!$B$4:$B$503,A6,'Invoice Detail'!$O$4:$O$503,"DELIVERED"))</x:f>
      </x:c>
      <x:c r="I6" s="26">
        <x:f>IF(A6="","",COUNTIFS('Invoice Detail'!$B$4:$B$503,A6,'Invoice Detail'!$O$4:$O$503,"FAILED"))</x:f>
      </x:c>
      <x:c r="J6" s="26">
        <x:f>IF(A6="","",COUNTIFS('Invoice Detail'!$B$4:$B$503,A6,'Invoice Detail'!$O$4:$O$503,"PARTIAL"))</x:f>
      </x:c>
      <x:c r="K6" s="26">
        <x:f>IF(A6="","",COUNTIFS('Invoice Detail'!$B$4:$B$503,A6,'Invoice Detail'!$O$4:$O$503,"DELIVERED",'Invoice Detail'!$J$4:$J$503,FALSE)+COUNTIFS('Invoice Detail'!$B$4:$B$503,A6,'Invoice Detail'!$O$4:$O$503,"PARTIAL",'Invoice Detail'!$J$4:$J$503,FALSE))</x:f>
      </x:c>
      <x:c r="L6" s="24">
        <x:f>IF(A6="","",SUMIFS('Invoice Detail'!$H$4:$H$503,'Invoice Detail'!$B$4:$B$503,A6))</x:f>
      </x:c>
      <x:c r="M6" s="22" t="n"/>
    </x:row>
    <x:row r="7">
      <x:c r="A7" s="22" t="n"/>
      <x:c r="B7" s="22" t="n"/>
      <x:c r="C7" s="22" t="n"/>
      <x:c r="D7" s="22" t="n"/>
      <x:c r="E7" s="22" t="n"/>
      <x:c r="F7" s="26">
        <x:f>IF(A7="","",IF(G7=0,"",IF(H7=G7,"COMPLETED",IF(I7=G7,"FAILED",IF(H7+I7+J7&gt;0,"PARTIAL","IN PROGRESS")))))</x:f>
      </x:c>
      <x:c r="G7" s="26">
        <x:f>IF(A7="","",COUNTIF('Invoice Detail'!$B$4:$B$503,A7))</x:f>
      </x:c>
      <x:c r="H7" s="26">
        <x:f>IF(A7="","",COUNTIFS('Invoice Detail'!$B$4:$B$503,A7,'Invoice Detail'!$O$4:$O$503,"DELIVERED"))</x:f>
      </x:c>
      <x:c r="I7" s="26">
        <x:f>IF(A7="","",COUNTIFS('Invoice Detail'!$B$4:$B$503,A7,'Invoice Detail'!$O$4:$O$503,"FAILED"))</x:f>
      </x:c>
      <x:c r="J7" s="26">
        <x:f>IF(A7="","",COUNTIFS('Invoice Detail'!$B$4:$B$503,A7,'Invoice Detail'!$O$4:$O$503,"PARTIAL"))</x:f>
      </x:c>
      <x:c r="K7" s="26">
        <x:f>IF(A7="","",COUNTIFS('Invoice Detail'!$B$4:$B$503,A7,'Invoice Detail'!$O$4:$O$503,"DELIVERED",'Invoice Detail'!$J$4:$J$503,FALSE)+COUNTIFS('Invoice Detail'!$B$4:$B$503,A7,'Invoice Detail'!$O$4:$O$503,"PARTIAL",'Invoice Detail'!$J$4:$J$503,FALSE))</x:f>
      </x:c>
      <x:c r="L7" s="24">
        <x:f>IF(A7="","",SUMIFS('Invoice Detail'!$H$4:$H$503,'Invoice Detail'!$B$4:$B$503,A7))</x:f>
      </x:c>
      <x:c r="M7" s="22" t="n"/>
    </x:row>
    <x:row r="8">
      <x:c r="A8" s="22" t="n"/>
      <x:c r="B8" s="22" t="n"/>
      <x:c r="C8" s="22" t="n"/>
      <x:c r="D8" s="22" t="n"/>
      <x:c r="E8" s="22" t="n"/>
      <x:c r="F8" s="26">
        <x:f>IF(A8="","",IF(G8=0,"",IF(H8=G8,"COMPLETED",IF(I8=G8,"FAILED",IF(H8+I8+J8&gt;0,"PARTIAL","IN PROGRESS")))))</x:f>
      </x:c>
      <x:c r="G8" s="26">
        <x:f>IF(A8="","",COUNTIF('Invoice Detail'!$B$4:$B$503,A8))</x:f>
      </x:c>
      <x:c r="H8" s="26">
        <x:f>IF(A8="","",COUNTIFS('Invoice Detail'!$B$4:$B$503,A8,'Invoice Detail'!$O$4:$O$503,"DELIVERED"))</x:f>
      </x:c>
      <x:c r="I8" s="26">
        <x:f>IF(A8="","",COUNTIFS('Invoice Detail'!$B$4:$B$503,A8,'Invoice Detail'!$O$4:$O$503,"FAILED"))</x:f>
      </x:c>
      <x:c r="J8" s="26">
        <x:f>IF(A8="","",COUNTIFS('Invoice Detail'!$B$4:$B$503,A8,'Invoice Detail'!$O$4:$O$503,"PARTIAL"))</x:f>
      </x:c>
      <x:c r="K8" s="26">
        <x:f>IF(A8="","",COUNTIFS('Invoice Detail'!$B$4:$B$503,A8,'Invoice Detail'!$O$4:$O$503,"DELIVERED",'Invoice Detail'!$J$4:$J$503,FALSE)+COUNTIFS('Invoice Detail'!$B$4:$B$503,A8,'Invoice Detail'!$O$4:$O$503,"PARTIAL",'Invoice Detail'!$J$4:$J$503,FALSE))</x:f>
      </x:c>
      <x:c r="L8" s="24">
        <x:f>IF(A8="","",SUMIFS('Invoice Detail'!$H$4:$H$503,'Invoice Detail'!$B$4:$B$503,A8))</x:f>
      </x:c>
      <x:c r="M8" s="22" t="n"/>
    </x:row>
    <x:row r="9">
      <x:c r="A9" s="22" t="n"/>
      <x:c r="B9" s="22" t="n"/>
      <x:c r="C9" s="22" t="n"/>
      <x:c r="D9" s="22" t="n"/>
      <x:c r="E9" s="22" t="n"/>
      <x:c r="F9" s="26">
        <x:f>IF(A9="","",IF(G9=0,"",IF(H9=G9,"COMPLETED",IF(I9=G9,"FAILED",IF(H9+I9+J9&gt;0,"PARTIAL","IN PROGRESS")))))</x:f>
      </x:c>
      <x:c r="G9" s="26">
        <x:f>IF(A9="","",COUNTIF('Invoice Detail'!$B$4:$B$503,A9))</x:f>
      </x:c>
      <x:c r="H9" s="26">
        <x:f>IF(A9="","",COUNTIFS('Invoice Detail'!$B$4:$B$503,A9,'Invoice Detail'!$O$4:$O$503,"DELIVERED"))</x:f>
      </x:c>
      <x:c r="I9" s="26">
        <x:f>IF(A9="","",COUNTIFS('Invoice Detail'!$B$4:$B$503,A9,'Invoice Detail'!$O$4:$O$503,"FAILED"))</x:f>
      </x:c>
      <x:c r="J9" s="26">
        <x:f>IF(A9="","",COUNTIFS('Invoice Detail'!$B$4:$B$503,A9,'Invoice Detail'!$O$4:$O$503,"PARTIAL"))</x:f>
      </x:c>
      <x:c r="K9" s="26">
        <x:f>IF(A9="","",COUNTIFS('Invoice Detail'!$B$4:$B$503,A9,'Invoice Detail'!$O$4:$O$503,"DELIVERED",'Invoice Detail'!$J$4:$J$503,FALSE)+COUNTIFS('Invoice Detail'!$B$4:$B$503,A9,'Invoice Detail'!$O$4:$O$503,"PARTIAL",'Invoice Detail'!$J$4:$J$503,FALSE))</x:f>
      </x:c>
      <x:c r="L9" s="24">
        <x:f>IF(A9="","",SUMIFS('Invoice Detail'!$H$4:$H$503,'Invoice Detail'!$B$4:$B$503,A9))</x:f>
      </x:c>
      <x:c r="M9" s="22" t="n"/>
    </x:row>
    <x:row r="10">
      <x:c r="A10" s="22" t="n"/>
      <x:c r="B10" s="22" t="n"/>
      <x:c r="C10" s="22" t="n"/>
      <x:c r="D10" s="22" t="n"/>
      <x:c r="E10" s="22" t="n"/>
      <x:c r="F10" s="26">
        <x:f>IF(A10="","",IF(G10=0,"",IF(H10=G10,"COMPLETED",IF(I10=G10,"FAILED",IF(H10+I10+J10&gt;0,"PARTIAL","IN PROGRESS")))))</x:f>
      </x:c>
      <x:c r="G10" s="26">
        <x:f>IF(A10="","",COUNTIF('Invoice Detail'!$B$4:$B$503,A10))</x:f>
      </x:c>
      <x:c r="H10" s="26">
        <x:f>IF(A10="","",COUNTIFS('Invoice Detail'!$B$4:$B$503,A10,'Invoice Detail'!$O$4:$O$503,"DELIVERED"))</x:f>
      </x:c>
      <x:c r="I10" s="26">
        <x:f>IF(A10="","",COUNTIFS('Invoice Detail'!$B$4:$B$503,A10,'Invoice Detail'!$O$4:$O$503,"FAILED"))</x:f>
      </x:c>
      <x:c r="J10" s="26">
        <x:f>IF(A10="","",COUNTIFS('Invoice Detail'!$B$4:$B$503,A10,'Invoice Detail'!$O$4:$O$503,"PARTIAL"))</x:f>
      </x:c>
      <x:c r="K10" s="26">
        <x:f>IF(A10="","",COUNTIFS('Invoice Detail'!$B$4:$B$503,A10,'Invoice Detail'!$O$4:$O$503,"DELIVERED",'Invoice Detail'!$J$4:$J$503,FALSE)+COUNTIFS('Invoice Detail'!$B$4:$B$503,A10,'Invoice Detail'!$O$4:$O$503,"PARTIAL",'Invoice Detail'!$J$4:$J$503,FALSE))</x:f>
      </x:c>
      <x:c r="L10" s="24">
        <x:f>IF(A10="","",SUMIFS('Invoice Detail'!$H$4:$H$503,'Invoice Detail'!$B$4:$B$503,A10))</x:f>
      </x:c>
      <x:c r="M10" s="22" t="n"/>
    </x:row>
    <x:row r="11">
      <x:c r="A11" s="22" t="n"/>
      <x:c r="B11" s="22" t="n"/>
      <x:c r="C11" s="22" t="n"/>
      <x:c r="D11" s="22" t="n"/>
      <x:c r="E11" s="22" t="n"/>
      <x:c r="F11" s="26">
        <x:f>IF(A11="","",IF(G11=0,"",IF(H11=G11,"COMPLETED",IF(I11=G11,"FAILED",IF(H11+I11+J11&gt;0,"PARTIAL","IN PROGRESS")))))</x:f>
      </x:c>
      <x:c r="G11" s="26">
        <x:f>IF(A11="","",COUNTIF('Invoice Detail'!$B$4:$B$503,A11))</x:f>
      </x:c>
      <x:c r="H11" s="26">
        <x:f>IF(A11="","",COUNTIFS('Invoice Detail'!$B$4:$B$503,A11,'Invoice Detail'!$O$4:$O$503,"DELIVERED"))</x:f>
      </x:c>
      <x:c r="I11" s="26">
        <x:f>IF(A11="","",COUNTIFS('Invoice Detail'!$B$4:$B$503,A11,'Invoice Detail'!$O$4:$O$503,"FAILED"))</x:f>
      </x:c>
      <x:c r="J11" s="26">
        <x:f>IF(A11="","",COUNTIFS('Invoice Detail'!$B$4:$B$503,A11,'Invoice Detail'!$O$4:$O$503,"PARTIAL"))</x:f>
      </x:c>
      <x:c r="K11" s="26">
        <x:f>IF(A11="","",COUNTIFS('Invoice Detail'!$B$4:$B$503,A11,'Invoice Detail'!$O$4:$O$503,"DELIVERED",'Invoice Detail'!$J$4:$J$503,FALSE)+COUNTIFS('Invoice Detail'!$B$4:$B$503,A11,'Invoice Detail'!$O$4:$O$503,"PARTIAL",'Invoice Detail'!$J$4:$J$503,FALSE))</x:f>
      </x:c>
      <x:c r="L11" s="24">
        <x:f>IF(A11="","",SUMIFS('Invoice Detail'!$H$4:$H$503,'Invoice Detail'!$B$4:$B$503,A11))</x:f>
      </x:c>
      <x:c r="M11" s="22" t="n"/>
    </x:row>
    <x:row r="12">
      <x:c r="A12" s="22" t="n"/>
      <x:c r="B12" s="22" t="n"/>
      <x:c r="C12" s="22" t="n"/>
      <x:c r="D12" s="22" t="n"/>
      <x:c r="E12" s="22" t="n"/>
      <x:c r="F12" s="26">
        <x:f>IF(A12="","",IF(G12=0,"",IF(H12=G12,"COMPLETED",IF(I12=G12,"FAILED",IF(H12+I12+J12&gt;0,"PARTIAL","IN PROGRESS")))))</x:f>
      </x:c>
      <x:c r="G12" s="26">
        <x:f>IF(A12="","",COUNTIF('Invoice Detail'!$B$4:$B$503,A12))</x:f>
      </x:c>
      <x:c r="H12" s="26">
        <x:f>IF(A12="","",COUNTIFS('Invoice Detail'!$B$4:$B$503,A12,'Invoice Detail'!$O$4:$O$503,"DELIVERED"))</x:f>
      </x:c>
      <x:c r="I12" s="26">
        <x:f>IF(A12="","",COUNTIFS('Invoice Detail'!$B$4:$B$503,A12,'Invoice Detail'!$O$4:$O$503,"FAILED"))</x:f>
      </x:c>
      <x:c r="J12" s="26">
        <x:f>IF(A12="","",COUNTIFS('Invoice Detail'!$B$4:$B$503,A12,'Invoice Detail'!$O$4:$O$503,"PARTIAL"))</x:f>
      </x:c>
      <x:c r="K12" s="26">
        <x:f>IF(A12="","",COUNTIFS('Invoice Detail'!$B$4:$B$503,A12,'Invoice Detail'!$O$4:$O$503,"DELIVERED",'Invoice Detail'!$J$4:$J$503,FALSE)+COUNTIFS('Invoice Detail'!$B$4:$B$503,A12,'Invoice Detail'!$O$4:$O$503,"PARTIAL",'Invoice Detail'!$J$4:$J$503,FALSE))</x:f>
      </x:c>
      <x:c r="L12" s="24">
        <x:f>IF(A12="","",SUMIFS('Invoice Detail'!$H$4:$H$503,'Invoice Detail'!$B$4:$B$503,A12))</x:f>
      </x:c>
      <x:c r="M12" s="22" t="n"/>
    </x:row>
    <x:row r="13">
      <x:c r="A13" s="22" t="n"/>
      <x:c r="B13" s="22" t="n"/>
      <x:c r="C13" s="22" t="n"/>
      <x:c r="D13" s="22" t="n"/>
      <x:c r="E13" s="22" t="n"/>
      <x:c r="F13" s="26">
        <x:f>IF(A13="","",IF(G13=0,"",IF(H13=G13,"COMPLETED",IF(I13=G13,"FAILED",IF(H13+I13+J13&gt;0,"PARTIAL","IN PROGRESS")))))</x:f>
      </x:c>
      <x:c r="G13" s="26">
        <x:f>IF(A13="","",COUNTIF('Invoice Detail'!$B$4:$B$503,A13))</x:f>
      </x:c>
      <x:c r="H13" s="26">
        <x:f>IF(A13="","",COUNTIFS('Invoice Detail'!$B$4:$B$503,A13,'Invoice Detail'!$O$4:$O$503,"DELIVERED"))</x:f>
      </x:c>
      <x:c r="I13" s="26">
        <x:f>IF(A13="","",COUNTIFS('Invoice Detail'!$B$4:$B$503,A13,'Invoice Detail'!$O$4:$O$503,"FAILED"))</x:f>
      </x:c>
      <x:c r="J13" s="26">
        <x:f>IF(A13="","",COUNTIFS('Invoice Detail'!$B$4:$B$503,A13,'Invoice Detail'!$O$4:$O$503,"PARTIAL"))</x:f>
      </x:c>
      <x:c r="K13" s="26">
        <x:f>IF(A13="","",COUNTIFS('Invoice Detail'!$B$4:$B$503,A13,'Invoice Detail'!$O$4:$O$503,"DELIVERED",'Invoice Detail'!$J$4:$J$503,FALSE)+COUNTIFS('Invoice Detail'!$B$4:$B$503,A13,'Invoice Detail'!$O$4:$O$503,"PARTIAL",'Invoice Detail'!$J$4:$J$503,FALSE))</x:f>
      </x:c>
      <x:c r="L13" s="24">
        <x:f>IF(A13="","",SUMIFS('Invoice Detail'!$H$4:$H$503,'Invoice Detail'!$B$4:$B$503,A13))</x:f>
      </x:c>
      <x:c r="M13" s="22" t="n"/>
    </x:row>
    <x:row r="14">
      <x:c r="A14" s="22" t="n"/>
      <x:c r="B14" s="22" t="n"/>
      <x:c r="C14" s="22" t="n"/>
      <x:c r="D14" s="22" t="n"/>
      <x:c r="E14" s="22" t="n"/>
      <x:c r="F14" s="26">
        <x:f>IF(A14="","",IF(G14=0,"",IF(H14=G14,"COMPLETED",IF(I14=G14,"FAILED",IF(H14+I14+J14&gt;0,"PARTIAL","IN PROGRESS")))))</x:f>
      </x:c>
      <x:c r="G14" s="26">
        <x:f>IF(A14="","",COUNTIF('Invoice Detail'!$B$4:$B$503,A14))</x:f>
      </x:c>
      <x:c r="H14" s="26">
        <x:f>IF(A14="","",COUNTIFS('Invoice Detail'!$B$4:$B$503,A14,'Invoice Detail'!$O$4:$O$503,"DELIVERED"))</x:f>
      </x:c>
      <x:c r="I14" s="26">
        <x:f>IF(A14="","",COUNTIFS('Invoice Detail'!$B$4:$B$503,A14,'Invoice Detail'!$O$4:$O$503,"FAILED"))</x:f>
      </x:c>
      <x:c r="J14" s="26">
        <x:f>IF(A14="","",COUNTIFS('Invoice Detail'!$B$4:$B$503,A14,'Invoice Detail'!$O$4:$O$503,"PARTIAL"))</x:f>
      </x:c>
      <x:c r="K14" s="26">
        <x:f>IF(A14="","",COUNTIFS('Invoice Detail'!$B$4:$B$503,A14,'Invoice Detail'!$O$4:$O$503,"DELIVERED",'Invoice Detail'!$J$4:$J$503,FALSE)+COUNTIFS('Invoice Detail'!$B$4:$B$503,A14,'Invoice Detail'!$O$4:$O$503,"PARTIAL",'Invoice Detail'!$J$4:$J$503,FALSE))</x:f>
      </x:c>
      <x:c r="L14" s="24">
        <x:f>IF(A14="","",SUMIFS('Invoice Detail'!$H$4:$H$503,'Invoice Detail'!$B$4:$B$503,A14))</x:f>
      </x:c>
      <x:c r="M14" s="22" t="n"/>
    </x:row>
    <x:row r="15">
      <x:c r="A15" s="22" t="n"/>
      <x:c r="B15" s="22" t="n"/>
      <x:c r="C15" s="22" t="n"/>
      <x:c r="D15" s="22" t="n"/>
      <x:c r="E15" s="22" t="n"/>
      <x:c r="F15" s="26">
        <x:f>IF(A15="","",IF(G15=0,"",IF(H15=G15,"COMPLETED",IF(I15=G15,"FAILED",IF(H15+I15+J15&gt;0,"PARTIAL","IN PROGRESS")))))</x:f>
      </x:c>
      <x:c r="G15" s="26">
        <x:f>IF(A15="","",COUNTIF('Invoice Detail'!$B$4:$B$503,A15))</x:f>
      </x:c>
      <x:c r="H15" s="26">
        <x:f>IF(A15="","",COUNTIFS('Invoice Detail'!$B$4:$B$503,A15,'Invoice Detail'!$O$4:$O$503,"DELIVERED"))</x:f>
      </x:c>
      <x:c r="I15" s="26">
        <x:f>IF(A15="","",COUNTIFS('Invoice Detail'!$B$4:$B$503,A15,'Invoice Detail'!$O$4:$O$503,"FAILED"))</x:f>
      </x:c>
      <x:c r="J15" s="26">
        <x:f>IF(A15="","",COUNTIFS('Invoice Detail'!$B$4:$B$503,A15,'Invoice Detail'!$O$4:$O$503,"PARTIAL"))</x:f>
      </x:c>
      <x:c r="K15" s="26">
        <x:f>IF(A15="","",COUNTIFS('Invoice Detail'!$B$4:$B$503,A15,'Invoice Detail'!$O$4:$O$503,"DELIVERED",'Invoice Detail'!$J$4:$J$503,FALSE)+COUNTIFS('Invoice Detail'!$B$4:$B$503,A15,'Invoice Detail'!$O$4:$O$503,"PARTIAL",'Invoice Detail'!$J$4:$J$503,FALSE))</x:f>
      </x:c>
      <x:c r="L15" s="24">
        <x:f>IF(A15="","",SUMIFS('Invoice Detail'!$H$4:$H$503,'Invoice Detail'!$B$4:$B$503,A15))</x:f>
      </x:c>
      <x:c r="M15" s="22" t="n"/>
    </x:row>
    <x:row r="16">
      <x:c r="A16" s="22" t="n"/>
      <x:c r="B16" s="22" t="n"/>
      <x:c r="C16" s="22" t="n"/>
      <x:c r="D16" s="22" t="n"/>
      <x:c r="E16" s="22" t="n"/>
      <x:c r="F16" s="26">
        <x:f>IF(A16="","",IF(G16=0,"",IF(H16=G16,"COMPLETED",IF(I16=G16,"FAILED",IF(H16+I16+J16&gt;0,"PARTIAL","IN PROGRESS")))))</x:f>
      </x:c>
      <x:c r="G16" s="26">
        <x:f>IF(A16="","",COUNTIF('Invoice Detail'!$B$4:$B$503,A16))</x:f>
      </x:c>
      <x:c r="H16" s="26">
        <x:f>IF(A16="","",COUNTIFS('Invoice Detail'!$B$4:$B$503,A16,'Invoice Detail'!$O$4:$O$503,"DELIVERED"))</x:f>
      </x:c>
      <x:c r="I16" s="26">
        <x:f>IF(A16="","",COUNTIFS('Invoice Detail'!$B$4:$B$503,A16,'Invoice Detail'!$O$4:$O$503,"FAILED"))</x:f>
      </x:c>
      <x:c r="J16" s="26">
        <x:f>IF(A16="","",COUNTIFS('Invoice Detail'!$B$4:$B$503,A16,'Invoice Detail'!$O$4:$O$503,"PARTIAL"))</x:f>
      </x:c>
      <x:c r="K16" s="26">
        <x:f>IF(A16="","",COUNTIFS('Invoice Detail'!$B$4:$B$503,A16,'Invoice Detail'!$O$4:$O$503,"DELIVERED",'Invoice Detail'!$J$4:$J$503,FALSE)+COUNTIFS('Invoice Detail'!$B$4:$B$503,A16,'Invoice Detail'!$O$4:$O$503,"PARTIAL",'Invoice Detail'!$J$4:$J$503,FALSE))</x:f>
      </x:c>
      <x:c r="L16" s="24">
        <x:f>IF(A16="","",SUMIFS('Invoice Detail'!$H$4:$H$503,'Invoice Detail'!$B$4:$B$503,A16))</x:f>
      </x:c>
      <x:c r="M16" s="22" t="n"/>
    </x:row>
    <x:row r="17">
      <x:c r="A17" s="22" t="n"/>
      <x:c r="B17" s="22" t="n"/>
      <x:c r="C17" s="22" t="n"/>
      <x:c r="D17" s="22" t="n"/>
      <x:c r="E17" s="22" t="n"/>
      <x:c r="F17" s="26">
        <x:f>IF(A17="","",IF(G17=0,"",IF(H17=G17,"COMPLETED",IF(I17=G17,"FAILED",IF(H17+I17+J17&gt;0,"PARTIAL","IN PROGRESS")))))</x:f>
      </x:c>
      <x:c r="G17" s="26">
        <x:f>IF(A17="","",COUNTIF('Invoice Detail'!$B$4:$B$503,A17))</x:f>
      </x:c>
      <x:c r="H17" s="26">
        <x:f>IF(A17="","",COUNTIFS('Invoice Detail'!$B$4:$B$503,A17,'Invoice Detail'!$O$4:$O$503,"DELIVERED"))</x:f>
      </x:c>
      <x:c r="I17" s="26">
        <x:f>IF(A17="","",COUNTIFS('Invoice Detail'!$B$4:$B$503,A17,'Invoice Detail'!$O$4:$O$503,"FAILED"))</x:f>
      </x:c>
      <x:c r="J17" s="26">
        <x:f>IF(A17="","",COUNTIFS('Invoice Detail'!$B$4:$B$503,A17,'Invoice Detail'!$O$4:$O$503,"PARTIAL"))</x:f>
      </x:c>
      <x:c r="K17" s="26">
        <x:f>IF(A17="","",COUNTIFS('Invoice Detail'!$B$4:$B$503,A17,'Invoice Detail'!$O$4:$O$503,"DELIVERED",'Invoice Detail'!$J$4:$J$503,FALSE)+COUNTIFS('Invoice Detail'!$B$4:$B$503,A17,'Invoice Detail'!$O$4:$O$503,"PARTIAL",'Invoice Detail'!$J$4:$J$503,FALSE))</x:f>
      </x:c>
      <x:c r="L17" s="24">
        <x:f>IF(A17="","",SUMIFS('Invoice Detail'!$H$4:$H$503,'Invoice Detail'!$B$4:$B$503,A17))</x:f>
      </x:c>
      <x:c r="M17" s="22" t="n"/>
    </x:row>
    <x:row r="18">
      <x:c r="A18" s="22" t="n"/>
      <x:c r="B18" s="22" t="n"/>
      <x:c r="C18" s="22" t="n"/>
      <x:c r="D18" s="22" t="n"/>
      <x:c r="E18" s="22" t="n"/>
      <x:c r="F18" s="26">
        <x:f>IF(A18="","",IF(G18=0,"",IF(H18=G18,"COMPLETED",IF(I18=G18,"FAILED",IF(H18+I18+J18&gt;0,"PARTIAL","IN PROGRESS")))))</x:f>
      </x:c>
      <x:c r="G18" s="26">
        <x:f>IF(A18="","",COUNTIF('Invoice Detail'!$B$4:$B$503,A18))</x:f>
      </x:c>
      <x:c r="H18" s="26">
        <x:f>IF(A18="","",COUNTIFS('Invoice Detail'!$B$4:$B$503,A18,'Invoice Detail'!$O$4:$O$503,"DELIVERED"))</x:f>
      </x:c>
      <x:c r="I18" s="26">
        <x:f>IF(A18="","",COUNTIFS('Invoice Detail'!$B$4:$B$503,A18,'Invoice Detail'!$O$4:$O$503,"FAILED"))</x:f>
      </x:c>
      <x:c r="J18" s="26">
        <x:f>IF(A18="","",COUNTIFS('Invoice Detail'!$B$4:$B$503,A18,'Invoice Detail'!$O$4:$O$503,"PARTIAL"))</x:f>
      </x:c>
      <x:c r="K18" s="26">
        <x:f>IF(A18="","",COUNTIFS('Invoice Detail'!$B$4:$B$503,A18,'Invoice Detail'!$O$4:$O$503,"DELIVERED",'Invoice Detail'!$J$4:$J$503,FALSE)+COUNTIFS('Invoice Detail'!$B$4:$B$503,A18,'Invoice Detail'!$O$4:$O$503,"PARTIAL",'Invoice Detail'!$J$4:$J$503,FALSE))</x:f>
      </x:c>
      <x:c r="L18" s="24">
        <x:f>IF(A18="","",SUMIFS('Invoice Detail'!$H$4:$H$503,'Invoice Detail'!$B$4:$B$503,A18))</x:f>
      </x:c>
      <x:c r="M18" s="22" t="n"/>
    </x:row>
    <x:row r="19">
      <x:c r="A19" s="22" t="n"/>
      <x:c r="B19" s="22" t="n"/>
      <x:c r="C19" s="22" t="n"/>
      <x:c r="D19" s="22" t="n"/>
      <x:c r="E19" s="22" t="n"/>
      <x:c r="F19" s="26">
        <x:f>IF(A19="","",IF(G19=0,"",IF(H19=G19,"COMPLETED",IF(I19=G19,"FAILED",IF(H19+I19+J19&gt;0,"PARTIAL","IN PROGRESS")))))</x:f>
      </x:c>
      <x:c r="G19" s="26">
        <x:f>IF(A19="","",COUNTIF('Invoice Detail'!$B$4:$B$503,A19))</x:f>
      </x:c>
      <x:c r="H19" s="26">
        <x:f>IF(A19="","",COUNTIFS('Invoice Detail'!$B$4:$B$503,A19,'Invoice Detail'!$O$4:$O$503,"DELIVERED"))</x:f>
      </x:c>
      <x:c r="I19" s="26">
        <x:f>IF(A19="","",COUNTIFS('Invoice Detail'!$B$4:$B$503,A19,'Invoice Detail'!$O$4:$O$503,"FAILED"))</x:f>
      </x:c>
      <x:c r="J19" s="26">
        <x:f>IF(A19="","",COUNTIFS('Invoice Detail'!$B$4:$B$503,A19,'Invoice Detail'!$O$4:$O$503,"PARTIAL"))</x:f>
      </x:c>
      <x:c r="K19" s="26">
        <x:f>IF(A19="","",COUNTIFS('Invoice Detail'!$B$4:$B$503,A19,'Invoice Detail'!$O$4:$O$503,"DELIVERED",'Invoice Detail'!$J$4:$J$503,FALSE)+COUNTIFS('Invoice Detail'!$B$4:$B$503,A19,'Invoice Detail'!$O$4:$O$503,"PARTIAL",'Invoice Detail'!$J$4:$J$503,FALSE))</x:f>
      </x:c>
      <x:c r="L19" s="24">
        <x:f>IF(A19="","",SUMIFS('Invoice Detail'!$H$4:$H$503,'Invoice Detail'!$B$4:$B$503,A19))</x:f>
      </x:c>
      <x:c r="M19" s="22" t="n"/>
    </x:row>
    <x:row r="20">
      <x:c r="A20" s="22" t="n"/>
      <x:c r="B20" s="22" t="n"/>
      <x:c r="C20" s="22" t="n"/>
      <x:c r="D20" s="22" t="n"/>
      <x:c r="E20" s="22" t="n"/>
      <x:c r="F20" s="26">
        <x:f>IF(A20="","",IF(G20=0,"",IF(H20=G20,"COMPLETED",IF(I20=G20,"FAILED",IF(H20+I20+J20&gt;0,"PARTIAL","IN PROGRESS")))))</x:f>
      </x:c>
      <x:c r="G20" s="26">
        <x:f>IF(A20="","",COUNTIF('Invoice Detail'!$B$4:$B$503,A20))</x:f>
      </x:c>
      <x:c r="H20" s="26">
        <x:f>IF(A20="","",COUNTIFS('Invoice Detail'!$B$4:$B$503,A20,'Invoice Detail'!$O$4:$O$503,"DELIVERED"))</x:f>
      </x:c>
      <x:c r="I20" s="26">
        <x:f>IF(A20="","",COUNTIFS('Invoice Detail'!$B$4:$B$503,A20,'Invoice Detail'!$O$4:$O$503,"FAILED"))</x:f>
      </x:c>
      <x:c r="J20" s="26">
        <x:f>IF(A20="","",COUNTIFS('Invoice Detail'!$B$4:$B$503,A20,'Invoice Detail'!$O$4:$O$503,"PARTIAL"))</x:f>
      </x:c>
      <x:c r="K20" s="26">
        <x:f>IF(A20="","",COUNTIFS('Invoice Detail'!$B$4:$B$503,A20,'Invoice Detail'!$O$4:$O$503,"DELIVERED",'Invoice Detail'!$J$4:$J$503,FALSE)+COUNTIFS('Invoice Detail'!$B$4:$B$503,A20,'Invoice Detail'!$O$4:$O$503,"PARTIAL",'Invoice Detail'!$J$4:$J$503,FALSE))</x:f>
      </x:c>
      <x:c r="L20" s="24">
        <x:f>IF(A20="","",SUMIFS('Invoice Detail'!$H$4:$H$503,'Invoice Detail'!$B$4:$B$503,A20))</x:f>
      </x:c>
      <x:c r="M20" s="22" t="n"/>
    </x:row>
    <x:row r="21">
      <x:c r="A21" s="22" t="n"/>
      <x:c r="B21" s="22" t="n"/>
      <x:c r="C21" s="22" t="n"/>
      <x:c r="D21" s="22" t="n"/>
      <x:c r="E21" s="22" t="n"/>
      <x:c r="F21" s="26">
        <x:f>IF(A21="","",IF(G21=0,"",IF(H21=G21,"COMPLETED",IF(I21=G21,"FAILED",IF(H21+I21+J21&gt;0,"PARTIAL","IN PROGRESS")))))</x:f>
      </x:c>
      <x:c r="G21" s="26">
        <x:f>IF(A21="","",COUNTIF('Invoice Detail'!$B$4:$B$503,A21))</x:f>
      </x:c>
      <x:c r="H21" s="26">
        <x:f>IF(A21="","",COUNTIFS('Invoice Detail'!$B$4:$B$503,A21,'Invoice Detail'!$O$4:$O$503,"DELIVERED"))</x:f>
      </x:c>
      <x:c r="I21" s="26">
        <x:f>IF(A21="","",COUNTIFS('Invoice Detail'!$B$4:$B$503,A21,'Invoice Detail'!$O$4:$O$503,"FAILED"))</x:f>
      </x:c>
      <x:c r="J21" s="26">
        <x:f>IF(A21="","",COUNTIFS('Invoice Detail'!$B$4:$B$503,A21,'Invoice Detail'!$O$4:$O$503,"PARTIAL"))</x:f>
      </x:c>
      <x:c r="K21" s="26">
        <x:f>IF(A21="","",COUNTIFS('Invoice Detail'!$B$4:$B$503,A21,'Invoice Detail'!$O$4:$O$503,"DELIVERED",'Invoice Detail'!$J$4:$J$503,FALSE)+COUNTIFS('Invoice Detail'!$B$4:$B$503,A21,'Invoice Detail'!$O$4:$O$503,"PARTIAL",'Invoice Detail'!$J$4:$J$503,FALSE))</x:f>
      </x:c>
      <x:c r="L21" s="24">
        <x:f>IF(A21="","",SUMIFS('Invoice Detail'!$H$4:$H$503,'Invoice Detail'!$B$4:$B$503,A21))</x:f>
      </x:c>
      <x:c r="M21" s="22" t="n"/>
    </x:row>
    <x:row r="22">
      <x:c r="A22" s="22" t="n"/>
      <x:c r="B22" s="22" t="n"/>
      <x:c r="C22" s="22" t="n"/>
      <x:c r="D22" s="22" t="n"/>
      <x:c r="E22" s="22" t="n"/>
      <x:c r="F22" s="26">
        <x:f>IF(A22="","",IF(G22=0,"",IF(H22=G22,"COMPLETED",IF(I22=G22,"FAILED",IF(H22+I22+J22&gt;0,"PARTIAL","IN PROGRESS")))))</x:f>
      </x:c>
      <x:c r="G22" s="26">
        <x:f>IF(A22="","",COUNTIF('Invoice Detail'!$B$4:$B$503,A22))</x:f>
      </x:c>
      <x:c r="H22" s="26">
        <x:f>IF(A22="","",COUNTIFS('Invoice Detail'!$B$4:$B$503,A22,'Invoice Detail'!$O$4:$O$503,"DELIVERED"))</x:f>
      </x:c>
      <x:c r="I22" s="26">
        <x:f>IF(A22="","",COUNTIFS('Invoice Detail'!$B$4:$B$503,A22,'Invoice Detail'!$O$4:$O$503,"FAILED"))</x:f>
      </x:c>
      <x:c r="J22" s="26">
        <x:f>IF(A22="","",COUNTIFS('Invoice Detail'!$B$4:$B$503,A22,'Invoice Detail'!$O$4:$O$503,"PARTIAL"))</x:f>
      </x:c>
      <x:c r="K22" s="26">
        <x:f>IF(A22="","",COUNTIFS('Invoice Detail'!$B$4:$B$503,A22,'Invoice Detail'!$O$4:$O$503,"DELIVERED",'Invoice Detail'!$J$4:$J$503,FALSE)+COUNTIFS('Invoice Detail'!$B$4:$B$503,A22,'Invoice Detail'!$O$4:$O$503,"PARTIAL",'Invoice Detail'!$J$4:$J$503,FALSE))</x:f>
      </x:c>
      <x:c r="L22" s="24">
        <x:f>IF(A22="","",SUMIFS('Invoice Detail'!$H$4:$H$503,'Invoice Detail'!$B$4:$B$503,A22))</x:f>
      </x:c>
      <x:c r="M22" s="22" t="n"/>
    </x:row>
    <x:row r="23">
      <x:c r="A23" s="22" t="n"/>
      <x:c r="B23" s="22" t="n"/>
      <x:c r="C23" s="22" t="n"/>
      <x:c r="D23" s="22" t="n"/>
      <x:c r="E23" s="22" t="n"/>
      <x:c r="F23" s="26">
        <x:f>IF(A23="","",IF(G23=0,"",IF(H23=G23,"COMPLETED",IF(I23=G23,"FAILED",IF(H23+I23+J23&gt;0,"PARTIAL","IN PROGRESS")))))</x:f>
      </x:c>
      <x:c r="G23" s="26">
        <x:f>IF(A23="","",COUNTIF('Invoice Detail'!$B$4:$B$503,A23))</x:f>
      </x:c>
      <x:c r="H23" s="26">
        <x:f>IF(A23="","",COUNTIFS('Invoice Detail'!$B$4:$B$503,A23,'Invoice Detail'!$O$4:$O$503,"DELIVERED"))</x:f>
      </x:c>
      <x:c r="I23" s="26">
        <x:f>IF(A23="","",COUNTIFS('Invoice Detail'!$B$4:$B$503,A23,'Invoice Detail'!$O$4:$O$503,"FAILED"))</x:f>
      </x:c>
      <x:c r="J23" s="26">
        <x:f>IF(A23="","",COUNTIFS('Invoice Detail'!$B$4:$B$503,A23,'Invoice Detail'!$O$4:$O$503,"PARTIAL"))</x:f>
      </x:c>
      <x:c r="K23" s="26">
        <x:f>IF(A23="","",COUNTIFS('Invoice Detail'!$B$4:$B$503,A23,'Invoice Detail'!$O$4:$O$503,"DELIVERED",'Invoice Detail'!$J$4:$J$503,FALSE)+COUNTIFS('Invoice Detail'!$B$4:$B$503,A23,'Invoice Detail'!$O$4:$O$503,"PARTIAL",'Invoice Detail'!$J$4:$J$503,FALSE))</x:f>
      </x:c>
      <x:c r="L23" s="24">
        <x:f>IF(A23="","",SUMIFS('Invoice Detail'!$H$4:$H$503,'Invoice Detail'!$B$4:$B$503,A23))</x:f>
      </x:c>
      <x:c r="M23" s="22" t="n"/>
    </x:row>
    <x:row r="24">
      <x:c r="A24" s="22" t="n"/>
      <x:c r="B24" s="22" t="n"/>
      <x:c r="C24" s="22" t="n"/>
      <x:c r="D24" s="22" t="n"/>
      <x:c r="E24" s="22" t="n"/>
      <x:c r="F24" s="26">
        <x:f>IF(A24="","",IF(G24=0,"",IF(H24=G24,"COMPLETED",IF(I24=G24,"FAILED",IF(H24+I24+J24&gt;0,"PARTIAL","IN PROGRESS")))))</x:f>
      </x:c>
      <x:c r="G24" s="26">
        <x:f>IF(A24="","",COUNTIF('Invoice Detail'!$B$4:$B$503,A24))</x:f>
      </x:c>
      <x:c r="H24" s="26">
        <x:f>IF(A24="","",COUNTIFS('Invoice Detail'!$B$4:$B$503,A24,'Invoice Detail'!$O$4:$O$503,"DELIVERED"))</x:f>
      </x:c>
      <x:c r="I24" s="26">
        <x:f>IF(A24="","",COUNTIFS('Invoice Detail'!$B$4:$B$503,A24,'Invoice Detail'!$O$4:$O$503,"FAILED"))</x:f>
      </x:c>
      <x:c r="J24" s="26">
        <x:f>IF(A24="","",COUNTIFS('Invoice Detail'!$B$4:$B$503,A24,'Invoice Detail'!$O$4:$O$503,"PARTIAL"))</x:f>
      </x:c>
      <x:c r="K24" s="26">
        <x:f>IF(A24="","",COUNTIFS('Invoice Detail'!$B$4:$B$503,A24,'Invoice Detail'!$O$4:$O$503,"DELIVERED",'Invoice Detail'!$J$4:$J$503,FALSE)+COUNTIFS('Invoice Detail'!$B$4:$B$503,A24,'Invoice Detail'!$O$4:$O$503,"PARTIAL",'Invoice Detail'!$J$4:$J$503,FALSE))</x:f>
      </x:c>
      <x:c r="L24" s="24">
        <x:f>IF(A24="","",SUMIFS('Invoice Detail'!$H$4:$H$503,'Invoice Detail'!$B$4:$B$503,A24))</x:f>
      </x:c>
      <x:c r="M24" s="22" t="n"/>
    </x:row>
    <x:row r="25">
      <x:c r="A25" s="22" t="n"/>
      <x:c r="B25" s="22" t="n"/>
      <x:c r="C25" s="22" t="n"/>
      <x:c r="D25" s="22" t="n"/>
      <x:c r="E25" s="22" t="n"/>
      <x:c r="F25" s="26">
        <x:f>IF(A25="","",IF(G25=0,"",IF(H25=G25,"COMPLETED",IF(I25=G25,"FAILED",IF(H25+I25+J25&gt;0,"PARTIAL","IN PROGRESS")))))</x:f>
      </x:c>
      <x:c r="G25" s="26">
        <x:f>IF(A25="","",COUNTIF('Invoice Detail'!$B$4:$B$503,A25))</x:f>
      </x:c>
      <x:c r="H25" s="26">
        <x:f>IF(A25="","",COUNTIFS('Invoice Detail'!$B$4:$B$503,A25,'Invoice Detail'!$O$4:$O$503,"DELIVERED"))</x:f>
      </x:c>
      <x:c r="I25" s="26">
        <x:f>IF(A25="","",COUNTIFS('Invoice Detail'!$B$4:$B$503,A25,'Invoice Detail'!$O$4:$O$503,"FAILED"))</x:f>
      </x:c>
      <x:c r="J25" s="26">
        <x:f>IF(A25="","",COUNTIFS('Invoice Detail'!$B$4:$B$503,A25,'Invoice Detail'!$O$4:$O$503,"PARTIAL"))</x:f>
      </x:c>
      <x:c r="K25" s="26">
        <x:f>IF(A25="","",COUNTIFS('Invoice Detail'!$B$4:$B$503,A25,'Invoice Detail'!$O$4:$O$503,"DELIVERED",'Invoice Detail'!$J$4:$J$503,FALSE)+COUNTIFS('Invoice Detail'!$B$4:$B$503,A25,'Invoice Detail'!$O$4:$O$503,"PARTIAL",'Invoice Detail'!$J$4:$J$503,FALSE))</x:f>
      </x:c>
      <x:c r="L25" s="24">
        <x:f>IF(A25="","",SUMIFS('Invoice Detail'!$H$4:$H$503,'Invoice Detail'!$B$4:$B$503,A25))</x:f>
      </x:c>
      <x:c r="M25" s="22" t="n"/>
    </x:row>
    <x:row r="26">
      <x:c r="A26" s="22" t="n"/>
      <x:c r="B26" s="22" t="n"/>
      <x:c r="C26" s="22" t="n"/>
      <x:c r="D26" s="22" t="n"/>
      <x:c r="E26" s="22" t="n"/>
      <x:c r="F26" s="26">
        <x:f>IF(A26="","",IF(G26=0,"",IF(H26=G26,"COMPLETED",IF(I26=G26,"FAILED",IF(H26+I26+J26&gt;0,"PARTIAL","IN PROGRESS")))))</x:f>
      </x:c>
      <x:c r="G26" s="26">
        <x:f>IF(A26="","",COUNTIF('Invoice Detail'!$B$4:$B$503,A26))</x:f>
      </x:c>
      <x:c r="H26" s="26">
        <x:f>IF(A26="","",COUNTIFS('Invoice Detail'!$B$4:$B$503,A26,'Invoice Detail'!$O$4:$O$503,"DELIVERED"))</x:f>
      </x:c>
      <x:c r="I26" s="26">
        <x:f>IF(A26="","",COUNTIFS('Invoice Detail'!$B$4:$B$503,A26,'Invoice Detail'!$O$4:$O$503,"FAILED"))</x:f>
      </x:c>
      <x:c r="J26" s="26">
        <x:f>IF(A26="","",COUNTIFS('Invoice Detail'!$B$4:$B$503,A26,'Invoice Detail'!$O$4:$O$503,"PARTIAL"))</x:f>
      </x:c>
      <x:c r="K26" s="26">
        <x:f>IF(A26="","",COUNTIFS('Invoice Detail'!$B$4:$B$503,A26,'Invoice Detail'!$O$4:$O$503,"DELIVERED",'Invoice Detail'!$J$4:$J$503,FALSE)+COUNTIFS('Invoice Detail'!$B$4:$B$503,A26,'Invoice Detail'!$O$4:$O$503,"PARTIAL",'Invoice Detail'!$J$4:$J$503,FALSE))</x:f>
      </x:c>
      <x:c r="L26" s="24">
        <x:f>IF(A26="","",SUMIFS('Invoice Detail'!$H$4:$H$503,'Invoice Detail'!$B$4:$B$503,A26))</x:f>
      </x:c>
      <x:c r="M26" s="22" t="n"/>
    </x:row>
    <x:row r="27">
      <x:c r="A27" s="22" t="n"/>
      <x:c r="B27" s="22" t="n"/>
      <x:c r="C27" s="22" t="n"/>
      <x:c r="D27" s="22" t="n"/>
      <x:c r="E27" s="22" t="n"/>
      <x:c r="F27" s="26">
        <x:f>IF(A27="","",IF(G27=0,"",IF(H27=G27,"COMPLETED",IF(I27=G27,"FAILED",IF(H27+I27+J27&gt;0,"PARTIAL","IN PROGRESS")))))</x:f>
      </x:c>
      <x:c r="G27" s="26">
        <x:f>IF(A27="","",COUNTIF('Invoice Detail'!$B$4:$B$503,A27))</x:f>
      </x:c>
      <x:c r="H27" s="26">
        <x:f>IF(A27="","",COUNTIFS('Invoice Detail'!$B$4:$B$503,A27,'Invoice Detail'!$O$4:$O$503,"DELIVERED"))</x:f>
      </x:c>
      <x:c r="I27" s="26">
        <x:f>IF(A27="","",COUNTIFS('Invoice Detail'!$B$4:$B$503,A27,'Invoice Detail'!$O$4:$O$503,"FAILED"))</x:f>
      </x:c>
      <x:c r="J27" s="26">
        <x:f>IF(A27="","",COUNTIFS('Invoice Detail'!$B$4:$B$503,A27,'Invoice Detail'!$O$4:$O$503,"PARTIAL"))</x:f>
      </x:c>
      <x:c r="K27" s="26">
        <x:f>IF(A27="","",COUNTIFS('Invoice Detail'!$B$4:$B$503,A27,'Invoice Detail'!$O$4:$O$503,"DELIVERED",'Invoice Detail'!$J$4:$J$503,FALSE)+COUNTIFS('Invoice Detail'!$B$4:$B$503,A27,'Invoice Detail'!$O$4:$O$503,"PARTIAL",'Invoice Detail'!$J$4:$J$503,FALSE))</x:f>
      </x:c>
      <x:c r="L27" s="24">
        <x:f>IF(A27="","",SUMIFS('Invoice Detail'!$H$4:$H$503,'Invoice Detail'!$B$4:$B$503,A27))</x:f>
      </x:c>
      <x:c r="M27" s="22" t="n"/>
    </x:row>
    <x:row r="28">
      <x:c r="A28" s="22" t="n"/>
      <x:c r="B28" s="22" t="n"/>
      <x:c r="C28" s="22" t="n"/>
      <x:c r="D28" s="22" t="n"/>
      <x:c r="E28" s="22" t="n"/>
      <x:c r="F28" s="26">
        <x:f>IF(A28="","",IF(G28=0,"",IF(H28=G28,"COMPLETED",IF(I28=G28,"FAILED",IF(H28+I28+J28&gt;0,"PARTIAL","IN PROGRESS")))))</x:f>
      </x:c>
      <x:c r="G28" s="26">
        <x:f>IF(A28="","",COUNTIF('Invoice Detail'!$B$4:$B$503,A28))</x:f>
      </x:c>
      <x:c r="H28" s="26">
        <x:f>IF(A28="","",COUNTIFS('Invoice Detail'!$B$4:$B$503,A28,'Invoice Detail'!$O$4:$O$503,"DELIVERED"))</x:f>
      </x:c>
      <x:c r="I28" s="26">
        <x:f>IF(A28="","",COUNTIFS('Invoice Detail'!$B$4:$B$503,A28,'Invoice Detail'!$O$4:$O$503,"FAILED"))</x:f>
      </x:c>
      <x:c r="J28" s="26">
        <x:f>IF(A28="","",COUNTIFS('Invoice Detail'!$B$4:$B$503,A28,'Invoice Detail'!$O$4:$O$503,"PARTIAL"))</x:f>
      </x:c>
      <x:c r="K28" s="26">
        <x:f>IF(A28="","",COUNTIFS('Invoice Detail'!$B$4:$B$503,A28,'Invoice Detail'!$O$4:$O$503,"DELIVERED",'Invoice Detail'!$J$4:$J$503,FALSE)+COUNTIFS('Invoice Detail'!$B$4:$B$503,A28,'Invoice Detail'!$O$4:$O$503,"PARTIAL",'Invoice Detail'!$J$4:$J$503,FALSE))</x:f>
      </x:c>
      <x:c r="L28" s="24">
        <x:f>IF(A28="","",SUMIFS('Invoice Detail'!$H$4:$H$503,'Invoice Detail'!$B$4:$B$503,A28))</x:f>
      </x:c>
      <x:c r="M28" s="22" t="n"/>
    </x:row>
    <x:row r="29">
      <x:c r="A29" s="22" t="n"/>
      <x:c r="B29" s="22" t="n"/>
      <x:c r="C29" s="22" t="n"/>
      <x:c r="D29" s="22" t="n"/>
      <x:c r="E29" s="22" t="n"/>
      <x:c r="F29" s="26">
        <x:f>IF(A29="","",IF(G29=0,"",IF(H29=G29,"COMPLETED",IF(I29=G29,"FAILED",IF(H29+I29+J29&gt;0,"PARTIAL","IN PROGRESS")))))</x:f>
      </x:c>
      <x:c r="G29" s="26">
        <x:f>IF(A29="","",COUNTIF('Invoice Detail'!$B$4:$B$503,A29))</x:f>
      </x:c>
      <x:c r="H29" s="26">
        <x:f>IF(A29="","",COUNTIFS('Invoice Detail'!$B$4:$B$503,A29,'Invoice Detail'!$O$4:$O$503,"DELIVERED"))</x:f>
      </x:c>
      <x:c r="I29" s="26">
        <x:f>IF(A29="","",COUNTIFS('Invoice Detail'!$B$4:$B$503,A29,'Invoice Detail'!$O$4:$O$503,"FAILED"))</x:f>
      </x:c>
      <x:c r="J29" s="26">
        <x:f>IF(A29="","",COUNTIFS('Invoice Detail'!$B$4:$B$503,A29,'Invoice Detail'!$O$4:$O$503,"PARTIAL"))</x:f>
      </x:c>
      <x:c r="K29" s="26">
        <x:f>IF(A29="","",COUNTIFS('Invoice Detail'!$B$4:$B$503,A29,'Invoice Detail'!$O$4:$O$503,"DELIVERED",'Invoice Detail'!$J$4:$J$503,FALSE)+COUNTIFS('Invoice Detail'!$B$4:$B$503,A29,'Invoice Detail'!$O$4:$O$503,"PARTIAL",'Invoice Detail'!$J$4:$J$503,FALSE))</x:f>
      </x:c>
      <x:c r="L29" s="24">
        <x:f>IF(A29="","",SUMIFS('Invoice Detail'!$H$4:$H$503,'Invoice Detail'!$B$4:$B$503,A29))</x:f>
      </x:c>
      <x:c r="M29" s="22" t="n"/>
    </x:row>
    <x:row r="30">
      <x:c r="A30" s="22" t="n"/>
      <x:c r="B30" s="22" t="n"/>
      <x:c r="C30" s="22" t="n"/>
      <x:c r="D30" s="22" t="n"/>
      <x:c r="E30" s="22" t="n"/>
      <x:c r="F30" s="26">
        <x:f>IF(A30="","",IF(G30=0,"",IF(H30=G30,"COMPLETED",IF(I30=G30,"FAILED",IF(H30+I30+J30&gt;0,"PARTIAL","IN PROGRESS")))))</x:f>
      </x:c>
      <x:c r="G30" s="26">
        <x:f>IF(A30="","",COUNTIF('Invoice Detail'!$B$4:$B$503,A30))</x:f>
      </x:c>
      <x:c r="H30" s="26">
        <x:f>IF(A30="","",COUNTIFS('Invoice Detail'!$B$4:$B$503,A30,'Invoice Detail'!$O$4:$O$503,"DELIVERED"))</x:f>
      </x:c>
      <x:c r="I30" s="26">
        <x:f>IF(A30="","",COUNTIFS('Invoice Detail'!$B$4:$B$503,A30,'Invoice Detail'!$O$4:$O$503,"FAILED"))</x:f>
      </x:c>
      <x:c r="J30" s="26">
        <x:f>IF(A30="","",COUNTIFS('Invoice Detail'!$B$4:$B$503,A30,'Invoice Detail'!$O$4:$O$503,"PARTIAL"))</x:f>
      </x:c>
      <x:c r="K30" s="26">
        <x:f>IF(A30="","",COUNTIFS('Invoice Detail'!$B$4:$B$503,A30,'Invoice Detail'!$O$4:$O$503,"DELIVERED",'Invoice Detail'!$J$4:$J$503,FALSE)+COUNTIFS('Invoice Detail'!$B$4:$B$503,A30,'Invoice Detail'!$O$4:$O$503,"PARTIAL",'Invoice Detail'!$J$4:$J$503,FALSE))</x:f>
      </x:c>
      <x:c r="L30" s="24">
        <x:f>IF(A30="","",SUMIFS('Invoice Detail'!$H$4:$H$503,'Invoice Detail'!$B$4:$B$503,A30))</x:f>
      </x:c>
      <x:c r="M30" s="22" t="n"/>
    </x:row>
    <x:row r="31">
      <x:c r="A31" s="22" t="n"/>
      <x:c r="B31" s="22" t="n"/>
      <x:c r="C31" s="22" t="n"/>
      <x:c r="D31" s="22" t="n"/>
      <x:c r="E31" s="22" t="n"/>
      <x:c r="F31" s="26">
        <x:f>IF(A31="","",IF(G31=0,"",IF(H31=G31,"COMPLETED",IF(I31=G31,"FAILED",IF(H31+I31+J31&gt;0,"PARTIAL","IN PROGRESS")))))</x:f>
      </x:c>
      <x:c r="G31" s="26">
        <x:f>IF(A31="","",COUNTIF('Invoice Detail'!$B$4:$B$503,A31))</x:f>
      </x:c>
      <x:c r="H31" s="26">
        <x:f>IF(A31="","",COUNTIFS('Invoice Detail'!$B$4:$B$503,A31,'Invoice Detail'!$O$4:$O$503,"DELIVERED"))</x:f>
      </x:c>
      <x:c r="I31" s="26">
        <x:f>IF(A31="","",COUNTIFS('Invoice Detail'!$B$4:$B$503,A31,'Invoice Detail'!$O$4:$O$503,"FAILED"))</x:f>
      </x:c>
      <x:c r="J31" s="26">
        <x:f>IF(A31="","",COUNTIFS('Invoice Detail'!$B$4:$B$503,A31,'Invoice Detail'!$O$4:$O$503,"PARTIAL"))</x:f>
      </x:c>
      <x:c r="K31" s="26">
        <x:f>IF(A31="","",COUNTIFS('Invoice Detail'!$B$4:$B$503,A31,'Invoice Detail'!$O$4:$O$503,"DELIVERED",'Invoice Detail'!$J$4:$J$503,FALSE)+COUNTIFS('Invoice Detail'!$B$4:$B$503,A31,'Invoice Detail'!$O$4:$O$503,"PARTIAL",'Invoice Detail'!$J$4:$J$503,FALSE))</x:f>
      </x:c>
      <x:c r="L31" s="24">
        <x:f>IF(A31="","",SUMIFS('Invoice Detail'!$H$4:$H$503,'Invoice Detail'!$B$4:$B$503,A31))</x:f>
      </x:c>
      <x:c r="M31" s="22" t="n"/>
    </x:row>
    <x:row r="32">
      <x:c r="A32" s="22" t="n"/>
      <x:c r="B32" s="22" t="n"/>
      <x:c r="C32" s="22" t="n"/>
      <x:c r="D32" s="22" t="n"/>
      <x:c r="E32" s="22" t="n"/>
      <x:c r="F32" s="26">
        <x:f>IF(A32="","",IF(G32=0,"",IF(H32=G32,"COMPLETED",IF(I32=G32,"FAILED",IF(H32+I32+J32&gt;0,"PARTIAL","IN PROGRESS")))))</x:f>
      </x:c>
      <x:c r="G32" s="26">
        <x:f>IF(A32="","",COUNTIF('Invoice Detail'!$B$4:$B$503,A32))</x:f>
      </x:c>
      <x:c r="H32" s="26">
        <x:f>IF(A32="","",COUNTIFS('Invoice Detail'!$B$4:$B$503,A32,'Invoice Detail'!$O$4:$O$503,"DELIVERED"))</x:f>
      </x:c>
      <x:c r="I32" s="26">
        <x:f>IF(A32="","",COUNTIFS('Invoice Detail'!$B$4:$B$503,A32,'Invoice Detail'!$O$4:$O$503,"FAILED"))</x:f>
      </x:c>
      <x:c r="J32" s="26">
        <x:f>IF(A32="","",COUNTIFS('Invoice Detail'!$B$4:$B$503,A32,'Invoice Detail'!$O$4:$O$503,"PARTIAL"))</x:f>
      </x:c>
      <x:c r="K32" s="26">
        <x:f>IF(A32="","",COUNTIFS('Invoice Detail'!$B$4:$B$503,A32,'Invoice Detail'!$O$4:$O$503,"DELIVERED",'Invoice Detail'!$J$4:$J$503,FALSE)+COUNTIFS('Invoice Detail'!$B$4:$B$503,A32,'Invoice Detail'!$O$4:$O$503,"PARTIAL",'Invoice Detail'!$J$4:$J$503,FALSE))</x:f>
      </x:c>
      <x:c r="L32" s="24">
        <x:f>IF(A32="","",SUMIFS('Invoice Detail'!$H$4:$H$503,'Invoice Detail'!$B$4:$B$503,A32))</x:f>
      </x:c>
      <x:c r="M32" s="22" t="n"/>
    </x:row>
    <x:row r="33">
      <x:c r="A33" s="22" t="n"/>
      <x:c r="B33" s="22" t="n"/>
      <x:c r="C33" s="22" t="n"/>
      <x:c r="D33" s="22" t="n"/>
      <x:c r="E33" s="22" t="n"/>
      <x:c r="F33" s="26">
        <x:f>IF(A33="","",IF(G33=0,"",IF(H33=G33,"COMPLETED",IF(I33=G33,"FAILED",IF(H33+I33+J33&gt;0,"PARTIAL","IN PROGRESS")))))</x:f>
      </x:c>
      <x:c r="G33" s="26">
        <x:f>IF(A33="","",COUNTIF('Invoice Detail'!$B$4:$B$503,A33))</x:f>
      </x:c>
      <x:c r="H33" s="26">
        <x:f>IF(A33="","",COUNTIFS('Invoice Detail'!$B$4:$B$503,A33,'Invoice Detail'!$O$4:$O$503,"DELIVERED"))</x:f>
      </x:c>
      <x:c r="I33" s="26">
        <x:f>IF(A33="","",COUNTIFS('Invoice Detail'!$B$4:$B$503,A33,'Invoice Detail'!$O$4:$O$503,"FAILED"))</x:f>
      </x:c>
      <x:c r="J33" s="26">
        <x:f>IF(A33="","",COUNTIFS('Invoice Detail'!$B$4:$B$503,A33,'Invoice Detail'!$O$4:$O$503,"PARTIAL"))</x:f>
      </x:c>
      <x:c r="K33" s="26">
        <x:f>IF(A33="","",COUNTIFS('Invoice Detail'!$B$4:$B$503,A33,'Invoice Detail'!$O$4:$O$503,"DELIVERED",'Invoice Detail'!$J$4:$J$503,FALSE)+COUNTIFS('Invoice Detail'!$B$4:$B$503,A33,'Invoice Detail'!$O$4:$O$503,"PARTIAL",'Invoice Detail'!$J$4:$J$503,FALSE))</x:f>
      </x:c>
      <x:c r="L33" s="24">
        <x:f>IF(A33="","",SUMIFS('Invoice Detail'!$H$4:$H$503,'Invoice Detail'!$B$4:$B$503,A33))</x:f>
      </x:c>
      <x:c r="M33" s="22" t="n"/>
    </x:row>
    <x:row r="34">
      <x:c r="A34" s="22" t="n"/>
      <x:c r="B34" s="22" t="n"/>
      <x:c r="C34" s="22" t="n"/>
      <x:c r="D34" s="22" t="n"/>
      <x:c r="E34" s="22" t="n"/>
      <x:c r="F34" s="26">
        <x:f>IF(A34="","",IF(G34=0,"",IF(H34=G34,"COMPLETED",IF(I34=G34,"FAILED",IF(H34+I34+J34&gt;0,"PARTIAL","IN PROGRESS")))))</x:f>
      </x:c>
      <x:c r="G34" s="26">
        <x:f>IF(A34="","",COUNTIF('Invoice Detail'!$B$4:$B$503,A34))</x:f>
      </x:c>
      <x:c r="H34" s="26">
        <x:f>IF(A34="","",COUNTIFS('Invoice Detail'!$B$4:$B$503,A34,'Invoice Detail'!$O$4:$O$503,"DELIVERED"))</x:f>
      </x:c>
      <x:c r="I34" s="26">
        <x:f>IF(A34="","",COUNTIFS('Invoice Detail'!$B$4:$B$503,A34,'Invoice Detail'!$O$4:$O$503,"FAILED"))</x:f>
      </x:c>
      <x:c r="J34" s="26">
        <x:f>IF(A34="","",COUNTIFS('Invoice Detail'!$B$4:$B$503,A34,'Invoice Detail'!$O$4:$O$503,"PARTIAL"))</x:f>
      </x:c>
      <x:c r="K34" s="26">
        <x:f>IF(A34="","",COUNTIFS('Invoice Detail'!$B$4:$B$503,A34,'Invoice Detail'!$O$4:$O$503,"DELIVERED",'Invoice Detail'!$J$4:$J$503,FALSE)+COUNTIFS('Invoice Detail'!$B$4:$B$503,A34,'Invoice Detail'!$O$4:$O$503,"PARTIAL",'Invoice Detail'!$J$4:$J$503,FALSE))</x:f>
      </x:c>
      <x:c r="L34" s="24">
        <x:f>IF(A34="","",SUMIFS('Invoice Detail'!$H$4:$H$503,'Invoice Detail'!$B$4:$B$503,A34))</x:f>
      </x:c>
      <x:c r="M34" s="22" t="n"/>
    </x:row>
    <x:row r="35">
      <x:c r="A35" s="22" t="n"/>
      <x:c r="B35" s="22" t="n"/>
      <x:c r="C35" s="22" t="n"/>
      <x:c r="D35" s="22" t="n"/>
      <x:c r="E35" s="22" t="n"/>
      <x:c r="F35" s="26">
        <x:f>IF(A35="","",IF(G35=0,"",IF(H35=G35,"COMPLETED",IF(I35=G35,"FAILED",IF(H35+I35+J35&gt;0,"PARTIAL","IN PROGRESS")))))</x:f>
      </x:c>
      <x:c r="G35" s="26">
        <x:f>IF(A35="","",COUNTIF('Invoice Detail'!$B$4:$B$503,A35))</x:f>
      </x:c>
      <x:c r="H35" s="26">
        <x:f>IF(A35="","",COUNTIFS('Invoice Detail'!$B$4:$B$503,A35,'Invoice Detail'!$O$4:$O$503,"DELIVERED"))</x:f>
      </x:c>
      <x:c r="I35" s="26">
        <x:f>IF(A35="","",COUNTIFS('Invoice Detail'!$B$4:$B$503,A35,'Invoice Detail'!$O$4:$O$503,"FAILED"))</x:f>
      </x:c>
      <x:c r="J35" s="26">
        <x:f>IF(A35="","",COUNTIFS('Invoice Detail'!$B$4:$B$503,A35,'Invoice Detail'!$O$4:$O$503,"PARTIAL"))</x:f>
      </x:c>
      <x:c r="K35" s="26">
        <x:f>IF(A35="","",COUNTIFS('Invoice Detail'!$B$4:$B$503,A35,'Invoice Detail'!$O$4:$O$503,"DELIVERED",'Invoice Detail'!$J$4:$J$503,FALSE)+COUNTIFS('Invoice Detail'!$B$4:$B$503,A35,'Invoice Detail'!$O$4:$O$503,"PARTIAL",'Invoice Detail'!$J$4:$J$503,FALSE))</x:f>
      </x:c>
      <x:c r="L35" s="24">
        <x:f>IF(A35="","",SUMIFS('Invoice Detail'!$H$4:$H$503,'Invoice Detail'!$B$4:$B$503,A35))</x:f>
      </x:c>
      <x:c r="M35" s="22" t="n"/>
    </x:row>
    <x:row r="36">
      <x:c r="A36" s="22" t="n"/>
      <x:c r="B36" s="22" t="n"/>
      <x:c r="C36" s="22" t="n"/>
      <x:c r="D36" s="22" t="n"/>
      <x:c r="E36" s="22" t="n"/>
      <x:c r="F36" s="26">
        <x:f>IF(A36="","",IF(G36=0,"",IF(H36=G36,"COMPLETED",IF(I36=G36,"FAILED",IF(H36+I36+J36&gt;0,"PARTIAL","IN PROGRESS")))))</x:f>
      </x:c>
      <x:c r="G36" s="26">
        <x:f>IF(A36="","",COUNTIF('Invoice Detail'!$B$4:$B$503,A36))</x:f>
      </x:c>
      <x:c r="H36" s="26">
        <x:f>IF(A36="","",COUNTIFS('Invoice Detail'!$B$4:$B$503,A36,'Invoice Detail'!$O$4:$O$503,"DELIVERED"))</x:f>
      </x:c>
      <x:c r="I36" s="26">
        <x:f>IF(A36="","",COUNTIFS('Invoice Detail'!$B$4:$B$503,A36,'Invoice Detail'!$O$4:$O$503,"FAILED"))</x:f>
      </x:c>
      <x:c r="J36" s="26">
        <x:f>IF(A36="","",COUNTIFS('Invoice Detail'!$B$4:$B$503,A36,'Invoice Detail'!$O$4:$O$503,"PARTIAL"))</x:f>
      </x:c>
      <x:c r="K36" s="26">
        <x:f>IF(A36="","",COUNTIFS('Invoice Detail'!$B$4:$B$503,A36,'Invoice Detail'!$O$4:$O$503,"DELIVERED",'Invoice Detail'!$J$4:$J$503,FALSE)+COUNTIFS('Invoice Detail'!$B$4:$B$503,A36,'Invoice Detail'!$O$4:$O$503,"PARTIAL",'Invoice Detail'!$J$4:$J$503,FALSE))</x:f>
      </x:c>
      <x:c r="L36" s="24">
        <x:f>IF(A36="","",SUMIFS('Invoice Detail'!$H$4:$H$503,'Invoice Detail'!$B$4:$B$503,A36))</x:f>
      </x:c>
      <x:c r="M36" s="22" t="n"/>
    </x:row>
    <x:row r="37">
      <x:c r="A37" s="22" t="n"/>
      <x:c r="B37" s="22" t="n"/>
      <x:c r="C37" s="22" t="n"/>
      <x:c r="D37" s="22" t="n"/>
      <x:c r="E37" s="22" t="n"/>
      <x:c r="F37" s="26">
        <x:f>IF(A37="","",IF(G37=0,"",IF(H37=G37,"COMPLETED",IF(I37=G37,"FAILED",IF(H37+I37+J37&gt;0,"PARTIAL","IN PROGRESS")))))</x:f>
      </x:c>
      <x:c r="G37" s="26">
        <x:f>IF(A37="","",COUNTIF('Invoice Detail'!$B$4:$B$503,A37))</x:f>
      </x:c>
      <x:c r="H37" s="26">
        <x:f>IF(A37="","",COUNTIFS('Invoice Detail'!$B$4:$B$503,A37,'Invoice Detail'!$O$4:$O$503,"DELIVERED"))</x:f>
      </x:c>
      <x:c r="I37" s="26">
        <x:f>IF(A37="","",COUNTIFS('Invoice Detail'!$B$4:$B$503,A37,'Invoice Detail'!$O$4:$O$503,"FAILED"))</x:f>
      </x:c>
      <x:c r="J37" s="26">
        <x:f>IF(A37="","",COUNTIFS('Invoice Detail'!$B$4:$B$503,A37,'Invoice Detail'!$O$4:$O$503,"PARTIAL"))</x:f>
      </x:c>
      <x:c r="K37" s="26">
        <x:f>IF(A37="","",COUNTIFS('Invoice Detail'!$B$4:$B$503,A37,'Invoice Detail'!$O$4:$O$503,"DELIVERED",'Invoice Detail'!$J$4:$J$503,FALSE)+COUNTIFS('Invoice Detail'!$B$4:$B$503,A37,'Invoice Detail'!$O$4:$O$503,"PARTIAL",'Invoice Detail'!$J$4:$J$503,FALSE))</x:f>
      </x:c>
      <x:c r="L37" s="24">
        <x:f>IF(A37="","",SUMIFS('Invoice Detail'!$H$4:$H$503,'Invoice Detail'!$B$4:$B$503,A37))</x:f>
      </x:c>
      <x:c r="M37" s="22" t="n"/>
    </x:row>
    <x:row r="38">
      <x:c r="A38" s="22" t="n"/>
      <x:c r="B38" s="22" t="n"/>
      <x:c r="C38" s="22" t="n"/>
      <x:c r="D38" s="22" t="n"/>
      <x:c r="E38" s="22" t="n"/>
      <x:c r="F38" s="26">
        <x:f>IF(A38="","",IF(G38=0,"",IF(H38=G38,"COMPLETED",IF(I38=G38,"FAILED",IF(H38+I38+J38&gt;0,"PARTIAL","IN PROGRESS")))))</x:f>
      </x:c>
      <x:c r="G38" s="26">
        <x:f>IF(A38="","",COUNTIF('Invoice Detail'!$B$4:$B$503,A38))</x:f>
      </x:c>
      <x:c r="H38" s="26">
        <x:f>IF(A38="","",COUNTIFS('Invoice Detail'!$B$4:$B$503,A38,'Invoice Detail'!$O$4:$O$503,"DELIVERED"))</x:f>
      </x:c>
      <x:c r="I38" s="26">
        <x:f>IF(A38="","",COUNTIFS('Invoice Detail'!$B$4:$B$503,A38,'Invoice Detail'!$O$4:$O$503,"FAILED"))</x:f>
      </x:c>
      <x:c r="J38" s="26">
        <x:f>IF(A38="","",COUNTIFS('Invoice Detail'!$B$4:$B$503,A38,'Invoice Detail'!$O$4:$O$503,"PARTIAL"))</x:f>
      </x:c>
      <x:c r="K38" s="26">
        <x:f>IF(A38="","",COUNTIFS('Invoice Detail'!$B$4:$B$503,A38,'Invoice Detail'!$O$4:$O$503,"DELIVERED",'Invoice Detail'!$J$4:$J$503,FALSE)+COUNTIFS('Invoice Detail'!$B$4:$B$503,A38,'Invoice Detail'!$O$4:$O$503,"PARTIAL",'Invoice Detail'!$J$4:$J$503,FALSE))</x:f>
      </x:c>
      <x:c r="L38" s="24">
        <x:f>IF(A38="","",SUMIFS('Invoice Detail'!$H$4:$H$503,'Invoice Detail'!$B$4:$B$503,A38))</x:f>
      </x:c>
      <x:c r="M38" s="22" t="n"/>
    </x:row>
    <x:row r="39">
      <x:c r="A39" s="22" t="n"/>
      <x:c r="B39" s="22" t="n"/>
      <x:c r="C39" s="22" t="n"/>
      <x:c r="D39" s="22" t="n"/>
      <x:c r="E39" s="22" t="n"/>
      <x:c r="F39" s="26">
        <x:f>IF(A39="","",IF(G39=0,"",IF(H39=G39,"COMPLETED",IF(I39=G39,"FAILED",IF(H39+I39+J39&gt;0,"PARTIAL","IN PROGRESS")))))</x:f>
      </x:c>
      <x:c r="G39" s="26">
        <x:f>IF(A39="","",COUNTIF('Invoice Detail'!$B$4:$B$503,A39))</x:f>
      </x:c>
      <x:c r="H39" s="26">
        <x:f>IF(A39="","",COUNTIFS('Invoice Detail'!$B$4:$B$503,A39,'Invoice Detail'!$O$4:$O$503,"DELIVERED"))</x:f>
      </x:c>
      <x:c r="I39" s="26">
        <x:f>IF(A39="","",COUNTIFS('Invoice Detail'!$B$4:$B$503,A39,'Invoice Detail'!$O$4:$O$503,"FAILED"))</x:f>
      </x:c>
      <x:c r="J39" s="26">
        <x:f>IF(A39="","",COUNTIFS('Invoice Detail'!$B$4:$B$503,A39,'Invoice Detail'!$O$4:$O$503,"PARTIAL"))</x:f>
      </x:c>
      <x:c r="K39" s="26">
        <x:f>IF(A39="","",COUNTIFS('Invoice Detail'!$B$4:$B$503,A39,'Invoice Detail'!$O$4:$O$503,"DELIVERED",'Invoice Detail'!$J$4:$J$503,FALSE)+COUNTIFS('Invoice Detail'!$B$4:$B$503,A39,'Invoice Detail'!$O$4:$O$503,"PARTIAL",'Invoice Detail'!$J$4:$J$503,FALSE))</x:f>
      </x:c>
      <x:c r="L39" s="24">
        <x:f>IF(A39="","",SUMIFS('Invoice Detail'!$H$4:$H$503,'Invoice Detail'!$B$4:$B$503,A39))</x:f>
      </x:c>
      <x:c r="M39" s="22" t="n"/>
    </x:row>
    <x:row r="40">
      <x:c r="A40" s="22" t="n"/>
      <x:c r="B40" s="22" t="n"/>
      <x:c r="C40" s="22" t="n"/>
      <x:c r="D40" s="22" t="n"/>
      <x:c r="E40" s="22" t="n"/>
      <x:c r="F40" s="26">
        <x:f>IF(A40="","",IF(G40=0,"",IF(H40=G40,"COMPLETED",IF(I40=G40,"FAILED",IF(H40+I40+J40&gt;0,"PARTIAL","IN PROGRESS")))))</x:f>
      </x:c>
      <x:c r="G40" s="26">
        <x:f>IF(A40="","",COUNTIF('Invoice Detail'!$B$4:$B$503,A40))</x:f>
      </x:c>
      <x:c r="H40" s="26">
        <x:f>IF(A40="","",COUNTIFS('Invoice Detail'!$B$4:$B$503,A40,'Invoice Detail'!$O$4:$O$503,"DELIVERED"))</x:f>
      </x:c>
      <x:c r="I40" s="26">
        <x:f>IF(A40="","",COUNTIFS('Invoice Detail'!$B$4:$B$503,A40,'Invoice Detail'!$O$4:$O$503,"FAILED"))</x:f>
      </x:c>
      <x:c r="J40" s="26">
        <x:f>IF(A40="","",COUNTIFS('Invoice Detail'!$B$4:$B$503,A40,'Invoice Detail'!$O$4:$O$503,"PARTIAL"))</x:f>
      </x:c>
      <x:c r="K40" s="26">
        <x:f>IF(A40="","",COUNTIFS('Invoice Detail'!$B$4:$B$503,A40,'Invoice Detail'!$O$4:$O$503,"DELIVERED",'Invoice Detail'!$J$4:$J$503,FALSE)+COUNTIFS('Invoice Detail'!$B$4:$B$503,A40,'Invoice Detail'!$O$4:$O$503,"PARTIAL",'Invoice Detail'!$J$4:$J$503,FALSE))</x:f>
      </x:c>
      <x:c r="L40" s="24">
        <x:f>IF(A40="","",SUMIFS('Invoice Detail'!$H$4:$H$503,'Invoice Detail'!$B$4:$B$503,A40))</x:f>
      </x:c>
      <x:c r="M40" s="22" t="n"/>
    </x:row>
    <x:row r="41">
      <x:c r="A41" s="22" t="n"/>
      <x:c r="B41" s="22" t="n"/>
      <x:c r="C41" s="22" t="n"/>
      <x:c r="D41" s="22" t="n"/>
      <x:c r="E41" s="22" t="n"/>
      <x:c r="F41" s="26">
        <x:f>IF(A41="","",IF(G41=0,"",IF(H41=G41,"COMPLETED",IF(I41=G41,"FAILED",IF(H41+I41+J41&gt;0,"PARTIAL","IN PROGRESS")))))</x:f>
      </x:c>
      <x:c r="G41" s="26">
        <x:f>IF(A41="","",COUNTIF('Invoice Detail'!$B$4:$B$503,A41))</x:f>
      </x:c>
      <x:c r="H41" s="26">
        <x:f>IF(A41="","",COUNTIFS('Invoice Detail'!$B$4:$B$503,A41,'Invoice Detail'!$O$4:$O$503,"DELIVERED"))</x:f>
      </x:c>
      <x:c r="I41" s="26">
        <x:f>IF(A41="","",COUNTIFS('Invoice Detail'!$B$4:$B$503,A41,'Invoice Detail'!$O$4:$O$503,"FAILED"))</x:f>
      </x:c>
      <x:c r="J41" s="26">
        <x:f>IF(A41="","",COUNTIFS('Invoice Detail'!$B$4:$B$503,A41,'Invoice Detail'!$O$4:$O$503,"PARTIAL"))</x:f>
      </x:c>
      <x:c r="K41" s="26">
        <x:f>IF(A41="","",COUNTIFS('Invoice Detail'!$B$4:$B$503,A41,'Invoice Detail'!$O$4:$O$503,"DELIVERED",'Invoice Detail'!$J$4:$J$503,FALSE)+COUNTIFS('Invoice Detail'!$B$4:$B$503,A41,'Invoice Detail'!$O$4:$O$503,"PARTIAL",'Invoice Detail'!$J$4:$J$503,FALSE))</x:f>
      </x:c>
      <x:c r="L41" s="24">
        <x:f>IF(A41="","",SUMIFS('Invoice Detail'!$H$4:$H$503,'Invoice Detail'!$B$4:$B$503,A41))</x:f>
      </x:c>
      <x:c r="M41" s="22" t="n"/>
    </x:row>
    <x:row r="42">
      <x:c r="A42" s="22" t="n"/>
      <x:c r="B42" s="22" t="n"/>
      <x:c r="C42" s="22" t="n"/>
      <x:c r="D42" s="22" t="n"/>
      <x:c r="E42" s="22" t="n"/>
      <x:c r="F42" s="26">
        <x:f>IF(A42="","",IF(G42=0,"",IF(H42=G42,"COMPLETED",IF(I42=G42,"FAILED",IF(H42+I42+J42&gt;0,"PARTIAL","IN PROGRESS")))))</x:f>
      </x:c>
      <x:c r="G42" s="26">
        <x:f>IF(A42="","",COUNTIF('Invoice Detail'!$B$4:$B$503,A42))</x:f>
      </x:c>
      <x:c r="H42" s="26">
        <x:f>IF(A42="","",COUNTIFS('Invoice Detail'!$B$4:$B$503,A42,'Invoice Detail'!$O$4:$O$503,"DELIVERED"))</x:f>
      </x:c>
      <x:c r="I42" s="26">
        <x:f>IF(A42="","",COUNTIFS('Invoice Detail'!$B$4:$B$503,A42,'Invoice Detail'!$O$4:$O$503,"FAILED"))</x:f>
      </x:c>
      <x:c r="J42" s="26">
        <x:f>IF(A42="","",COUNTIFS('Invoice Detail'!$B$4:$B$503,A42,'Invoice Detail'!$O$4:$O$503,"PARTIAL"))</x:f>
      </x:c>
      <x:c r="K42" s="26">
        <x:f>IF(A42="","",COUNTIFS('Invoice Detail'!$B$4:$B$503,A42,'Invoice Detail'!$O$4:$O$503,"DELIVERED",'Invoice Detail'!$J$4:$J$503,FALSE)+COUNTIFS('Invoice Detail'!$B$4:$B$503,A42,'Invoice Detail'!$O$4:$O$503,"PARTIAL",'Invoice Detail'!$J$4:$J$503,FALSE))</x:f>
      </x:c>
      <x:c r="L42" s="24">
        <x:f>IF(A42="","",SUMIFS('Invoice Detail'!$H$4:$H$503,'Invoice Detail'!$B$4:$B$503,A42))</x:f>
      </x:c>
      <x:c r="M42" s="22" t="n"/>
    </x:row>
    <x:row r="43">
      <x:c r="A43" s="22" t="n"/>
      <x:c r="B43" s="22" t="n"/>
      <x:c r="C43" s="22" t="n"/>
      <x:c r="D43" s="22" t="n"/>
      <x:c r="E43" s="22" t="n"/>
      <x:c r="F43" s="26">
        <x:f>IF(A43="","",IF(G43=0,"",IF(H43=G43,"COMPLETED",IF(I43=G43,"FAILED",IF(H43+I43+J43&gt;0,"PARTIAL","IN PROGRESS")))))</x:f>
      </x:c>
      <x:c r="G43" s="26">
        <x:f>IF(A43="","",COUNTIF('Invoice Detail'!$B$4:$B$503,A43))</x:f>
      </x:c>
      <x:c r="H43" s="26">
        <x:f>IF(A43="","",COUNTIFS('Invoice Detail'!$B$4:$B$503,A43,'Invoice Detail'!$O$4:$O$503,"DELIVERED"))</x:f>
      </x:c>
      <x:c r="I43" s="26">
        <x:f>IF(A43="","",COUNTIFS('Invoice Detail'!$B$4:$B$503,A43,'Invoice Detail'!$O$4:$O$503,"FAILED"))</x:f>
      </x:c>
      <x:c r="J43" s="26">
        <x:f>IF(A43="","",COUNTIFS('Invoice Detail'!$B$4:$B$503,A43,'Invoice Detail'!$O$4:$O$503,"PARTIAL"))</x:f>
      </x:c>
      <x:c r="K43" s="26">
        <x:f>IF(A43="","",COUNTIFS('Invoice Detail'!$B$4:$B$503,A43,'Invoice Detail'!$O$4:$O$503,"DELIVERED",'Invoice Detail'!$J$4:$J$503,FALSE)+COUNTIFS('Invoice Detail'!$B$4:$B$503,A43,'Invoice Detail'!$O$4:$O$503,"PARTIAL",'Invoice Detail'!$J$4:$J$503,FALSE))</x:f>
      </x:c>
      <x:c r="L43" s="24">
        <x:f>IF(A43="","",SUMIFS('Invoice Detail'!$H$4:$H$503,'Invoice Detail'!$B$4:$B$503,A43))</x:f>
      </x:c>
      <x:c r="M43" s="22" t="n"/>
    </x:row>
    <x:row r="44">
      <x:c r="A44" s="22" t="n"/>
      <x:c r="B44" s="22" t="n"/>
      <x:c r="C44" s="22" t="n"/>
      <x:c r="D44" s="22" t="n"/>
      <x:c r="E44" s="22" t="n"/>
      <x:c r="F44" s="26">
        <x:f>IF(A44="","",IF(G44=0,"",IF(H44=G44,"COMPLETED",IF(I44=G44,"FAILED",IF(H44+I44+J44&gt;0,"PARTIAL","IN PROGRESS")))))</x:f>
      </x:c>
      <x:c r="G44" s="26">
        <x:f>IF(A44="","",COUNTIF('Invoice Detail'!$B$4:$B$503,A44))</x:f>
      </x:c>
      <x:c r="H44" s="26">
        <x:f>IF(A44="","",COUNTIFS('Invoice Detail'!$B$4:$B$503,A44,'Invoice Detail'!$O$4:$O$503,"DELIVERED"))</x:f>
      </x:c>
      <x:c r="I44" s="26">
        <x:f>IF(A44="","",COUNTIFS('Invoice Detail'!$B$4:$B$503,A44,'Invoice Detail'!$O$4:$O$503,"FAILED"))</x:f>
      </x:c>
      <x:c r="J44" s="26">
        <x:f>IF(A44="","",COUNTIFS('Invoice Detail'!$B$4:$B$503,A44,'Invoice Detail'!$O$4:$O$503,"PARTIAL"))</x:f>
      </x:c>
      <x:c r="K44" s="26">
        <x:f>IF(A44="","",COUNTIFS('Invoice Detail'!$B$4:$B$503,A44,'Invoice Detail'!$O$4:$O$503,"DELIVERED",'Invoice Detail'!$J$4:$J$503,FALSE)+COUNTIFS('Invoice Detail'!$B$4:$B$503,A44,'Invoice Detail'!$O$4:$O$503,"PARTIAL",'Invoice Detail'!$J$4:$J$503,FALSE))</x:f>
      </x:c>
      <x:c r="L44" s="24">
        <x:f>IF(A44="","",SUMIFS('Invoice Detail'!$H$4:$H$503,'Invoice Detail'!$B$4:$B$503,A44))</x:f>
      </x:c>
      <x:c r="M44" s="22" t="n"/>
    </x:row>
    <x:row r="45">
      <x:c r="A45" s="22" t="n"/>
      <x:c r="B45" s="22" t="n"/>
      <x:c r="C45" s="22" t="n"/>
      <x:c r="D45" s="22" t="n"/>
      <x:c r="E45" s="22" t="n"/>
      <x:c r="F45" s="26">
        <x:f>IF(A45="","",IF(G45=0,"",IF(H45=G45,"COMPLETED",IF(I45=G45,"FAILED",IF(H45+I45+J45&gt;0,"PARTIAL","IN PROGRESS")))))</x:f>
      </x:c>
      <x:c r="G45" s="26">
        <x:f>IF(A45="","",COUNTIF('Invoice Detail'!$B$4:$B$503,A45))</x:f>
      </x:c>
      <x:c r="H45" s="26">
        <x:f>IF(A45="","",COUNTIFS('Invoice Detail'!$B$4:$B$503,A45,'Invoice Detail'!$O$4:$O$503,"DELIVERED"))</x:f>
      </x:c>
      <x:c r="I45" s="26">
        <x:f>IF(A45="","",COUNTIFS('Invoice Detail'!$B$4:$B$503,A45,'Invoice Detail'!$O$4:$O$503,"FAILED"))</x:f>
      </x:c>
      <x:c r="J45" s="26">
        <x:f>IF(A45="","",COUNTIFS('Invoice Detail'!$B$4:$B$503,A45,'Invoice Detail'!$O$4:$O$503,"PARTIAL"))</x:f>
      </x:c>
      <x:c r="K45" s="26">
        <x:f>IF(A45="","",COUNTIFS('Invoice Detail'!$B$4:$B$503,A45,'Invoice Detail'!$O$4:$O$503,"DELIVERED",'Invoice Detail'!$J$4:$J$503,FALSE)+COUNTIFS('Invoice Detail'!$B$4:$B$503,A45,'Invoice Detail'!$O$4:$O$503,"PARTIAL",'Invoice Detail'!$J$4:$J$503,FALSE))</x:f>
      </x:c>
      <x:c r="L45" s="24">
        <x:f>IF(A45="","",SUMIFS('Invoice Detail'!$H$4:$H$503,'Invoice Detail'!$B$4:$B$503,A45))</x:f>
      </x:c>
      <x:c r="M45" s="22" t="n"/>
    </x:row>
    <x:row r="46">
      <x:c r="A46" s="22" t="n"/>
      <x:c r="B46" s="22" t="n"/>
      <x:c r="C46" s="22" t="n"/>
      <x:c r="D46" s="22" t="n"/>
      <x:c r="E46" s="22" t="n"/>
      <x:c r="F46" s="26">
        <x:f>IF(A46="","",IF(G46=0,"",IF(H46=G46,"COMPLETED",IF(I46=G46,"FAILED",IF(H46+I46+J46&gt;0,"PARTIAL","IN PROGRESS")))))</x:f>
      </x:c>
      <x:c r="G46" s="26">
        <x:f>IF(A46="","",COUNTIF('Invoice Detail'!$B$4:$B$503,A46))</x:f>
      </x:c>
      <x:c r="H46" s="26">
        <x:f>IF(A46="","",COUNTIFS('Invoice Detail'!$B$4:$B$503,A46,'Invoice Detail'!$O$4:$O$503,"DELIVERED"))</x:f>
      </x:c>
      <x:c r="I46" s="26">
        <x:f>IF(A46="","",COUNTIFS('Invoice Detail'!$B$4:$B$503,A46,'Invoice Detail'!$O$4:$O$503,"FAILED"))</x:f>
      </x:c>
      <x:c r="J46" s="26">
        <x:f>IF(A46="","",COUNTIFS('Invoice Detail'!$B$4:$B$503,A46,'Invoice Detail'!$O$4:$O$503,"PARTIAL"))</x:f>
      </x:c>
      <x:c r="K46" s="26">
        <x:f>IF(A46="","",COUNTIFS('Invoice Detail'!$B$4:$B$503,A46,'Invoice Detail'!$O$4:$O$503,"DELIVERED",'Invoice Detail'!$J$4:$J$503,FALSE)+COUNTIFS('Invoice Detail'!$B$4:$B$503,A46,'Invoice Detail'!$O$4:$O$503,"PARTIAL",'Invoice Detail'!$J$4:$J$503,FALSE))</x:f>
      </x:c>
      <x:c r="L46" s="24">
        <x:f>IF(A46="","",SUMIFS('Invoice Detail'!$H$4:$H$503,'Invoice Detail'!$B$4:$B$503,A46))</x:f>
      </x:c>
      <x:c r="M46" s="22" t="n"/>
    </x:row>
    <x:row r="47">
      <x:c r="A47" s="22" t="n"/>
      <x:c r="B47" s="22" t="n"/>
      <x:c r="C47" s="22" t="n"/>
      <x:c r="D47" s="22" t="n"/>
      <x:c r="E47" s="22" t="n"/>
      <x:c r="F47" s="26">
        <x:f>IF(A47="","",IF(G47=0,"",IF(H47=G47,"COMPLETED",IF(I47=G47,"FAILED",IF(H47+I47+J47&gt;0,"PARTIAL","IN PROGRESS")))))</x:f>
      </x:c>
      <x:c r="G47" s="26">
        <x:f>IF(A47="","",COUNTIF('Invoice Detail'!$B$4:$B$503,A47))</x:f>
      </x:c>
      <x:c r="H47" s="26">
        <x:f>IF(A47="","",COUNTIFS('Invoice Detail'!$B$4:$B$503,A47,'Invoice Detail'!$O$4:$O$503,"DELIVERED"))</x:f>
      </x:c>
      <x:c r="I47" s="26">
        <x:f>IF(A47="","",COUNTIFS('Invoice Detail'!$B$4:$B$503,A47,'Invoice Detail'!$O$4:$O$503,"FAILED"))</x:f>
      </x:c>
      <x:c r="J47" s="26">
        <x:f>IF(A47="","",COUNTIFS('Invoice Detail'!$B$4:$B$503,A47,'Invoice Detail'!$O$4:$O$503,"PARTIAL"))</x:f>
      </x:c>
      <x:c r="K47" s="26">
        <x:f>IF(A47="","",COUNTIFS('Invoice Detail'!$B$4:$B$503,A47,'Invoice Detail'!$O$4:$O$503,"DELIVERED",'Invoice Detail'!$J$4:$J$503,FALSE)+COUNTIFS('Invoice Detail'!$B$4:$B$503,A47,'Invoice Detail'!$O$4:$O$503,"PARTIAL",'Invoice Detail'!$J$4:$J$503,FALSE))</x:f>
      </x:c>
      <x:c r="L47" s="24">
        <x:f>IF(A47="","",SUMIFS('Invoice Detail'!$H$4:$H$503,'Invoice Detail'!$B$4:$B$503,A47))</x:f>
      </x:c>
      <x:c r="M47" s="22" t="n"/>
    </x:row>
    <x:row r="48">
      <x:c r="A48" s="22" t="n"/>
      <x:c r="B48" s="22" t="n"/>
      <x:c r="C48" s="22" t="n"/>
      <x:c r="D48" s="22" t="n"/>
      <x:c r="E48" s="22" t="n"/>
      <x:c r="F48" s="26">
        <x:f>IF(A48="","",IF(G48=0,"",IF(H48=G48,"COMPLETED",IF(I48=G48,"FAILED",IF(H48+I48+J48&gt;0,"PARTIAL","IN PROGRESS")))))</x:f>
      </x:c>
      <x:c r="G48" s="26">
        <x:f>IF(A48="","",COUNTIF('Invoice Detail'!$B$4:$B$503,A48))</x:f>
      </x:c>
      <x:c r="H48" s="26">
        <x:f>IF(A48="","",COUNTIFS('Invoice Detail'!$B$4:$B$503,A48,'Invoice Detail'!$O$4:$O$503,"DELIVERED"))</x:f>
      </x:c>
      <x:c r="I48" s="26">
        <x:f>IF(A48="","",COUNTIFS('Invoice Detail'!$B$4:$B$503,A48,'Invoice Detail'!$O$4:$O$503,"FAILED"))</x:f>
      </x:c>
      <x:c r="J48" s="26">
        <x:f>IF(A48="","",COUNTIFS('Invoice Detail'!$B$4:$B$503,A48,'Invoice Detail'!$O$4:$O$503,"PARTIAL"))</x:f>
      </x:c>
      <x:c r="K48" s="26">
        <x:f>IF(A48="","",COUNTIFS('Invoice Detail'!$B$4:$B$503,A48,'Invoice Detail'!$O$4:$O$503,"DELIVERED",'Invoice Detail'!$J$4:$J$503,FALSE)+COUNTIFS('Invoice Detail'!$B$4:$B$503,A48,'Invoice Detail'!$O$4:$O$503,"PARTIAL",'Invoice Detail'!$J$4:$J$503,FALSE))</x:f>
      </x:c>
      <x:c r="L48" s="24">
        <x:f>IF(A48="","",SUMIFS('Invoice Detail'!$H$4:$H$503,'Invoice Detail'!$B$4:$B$503,A48))</x:f>
      </x:c>
      <x:c r="M48" s="22" t="n"/>
    </x:row>
    <x:row r="49">
      <x:c r="A49" s="22" t="n"/>
      <x:c r="B49" s="22" t="n"/>
      <x:c r="C49" s="22" t="n"/>
      <x:c r="D49" s="22" t="n"/>
      <x:c r="E49" s="22" t="n"/>
      <x:c r="F49" s="26">
        <x:f>IF(A49="","",IF(G49=0,"",IF(H49=G49,"COMPLETED",IF(I49=G49,"FAILED",IF(H49+I49+J49&gt;0,"PARTIAL","IN PROGRESS")))))</x:f>
      </x:c>
      <x:c r="G49" s="26">
        <x:f>IF(A49="","",COUNTIF('Invoice Detail'!$B$4:$B$503,A49))</x:f>
      </x:c>
      <x:c r="H49" s="26">
        <x:f>IF(A49="","",COUNTIFS('Invoice Detail'!$B$4:$B$503,A49,'Invoice Detail'!$O$4:$O$503,"DELIVERED"))</x:f>
      </x:c>
      <x:c r="I49" s="26">
        <x:f>IF(A49="","",COUNTIFS('Invoice Detail'!$B$4:$B$503,A49,'Invoice Detail'!$O$4:$O$503,"FAILED"))</x:f>
      </x:c>
      <x:c r="J49" s="26">
        <x:f>IF(A49="","",COUNTIFS('Invoice Detail'!$B$4:$B$503,A49,'Invoice Detail'!$O$4:$O$503,"PARTIAL"))</x:f>
      </x:c>
      <x:c r="K49" s="26">
        <x:f>IF(A49="","",COUNTIFS('Invoice Detail'!$B$4:$B$503,A49,'Invoice Detail'!$O$4:$O$503,"DELIVERED",'Invoice Detail'!$J$4:$J$503,FALSE)+COUNTIFS('Invoice Detail'!$B$4:$B$503,A49,'Invoice Detail'!$O$4:$O$503,"PARTIAL",'Invoice Detail'!$J$4:$J$503,FALSE))</x:f>
      </x:c>
      <x:c r="L49" s="24">
        <x:f>IF(A49="","",SUMIFS('Invoice Detail'!$H$4:$H$503,'Invoice Detail'!$B$4:$B$503,A49))</x:f>
      </x:c>
      <x:c r="M49" s="22" t="n"/>
    </x:row>
    <x:row r="50">
      <x:c r="A50" s="22" t="n"/>
      <x:c r="B50" s="22" t="n"/>
      <x:c r="C50" s="22" t="n"/>
      <x:c r="D50" s="22" t="n"/>
      <x:c r="E50" s="22" t="n"/>
      <x:c r="F50" s="26">
        <x:f>IF(A50="","",IF(G50=0,"",IF(H50=G50,"COMPLETED",IF(I50=G50,"FAILED",IF(H50+I50+J50&gt;0,"PARTIAL","IN PROGRESS")))))</x:f>
      </x:c>
      <x:c r="G50" s="26">
        <x:f>IF(A50="","",COUNTIF('Invoice Detail'!$B$4:$B$503,A50))</x:f>
      </x:c>
      <x:c r="H50" s="26">
        <x:f>IF(A50="","",COUNTIFS('Invoice Detail'!$B$4:$B$503,A50,'Invoice Detail'!$O$4:$O$503,"DELIVERED"))</x:f>
      </x:c>
      <x:c r="I50" s="26">
        <x:f>IF(A50="","",COUNTIFS('Invoice Detail'!$B$4:$B$503,A50,'Invoice Detail'!$O$4:$O$503,"FAILED"))</x:f>
      </x:c>
      <x:c r="J50" s="26">
        <x:f>IF(A50="","",COUNTIFS('Invoice Detail'!$B$4:$B$503,A50,'Invoice Detail'!$O$4:$O$503,"PARTIAL"))</x:f>
      </x:c>
      <x:c r="K50" s="26">
        <x:f>IF(A50="","",COUNTIFS('Invoice Detail'!$B$4:$B$503,A50,'Invoice Detail'!$O$4:$O$503,"DELIVERED",'Invoice Detail'!$J$4:$J$503,FALSE)+COUNTIFS('Invoice Detail'!$B$4:$B$503,A50,'Invoice Detail'!$O$4:$O$503,"PARTIAL",'Invoice Detail'!$J$4:$J$503,FALSE))</x:f>
      </x:c>
      <x:c r="L50" s="24">
        <x:f>IF(A50="","",SUMIFS('Invoice Detail'!$H$4:$H$503,'Invoice Detail'!$B$4:$B$503,A50))</x:f>
      </x:c>
      <x:c r="M50" s="22" t="n"/>
    </x:row>
    <x:row r="51">
      <x:c r="A51" s="22" t="n"/>
      <x:c r="B51" s="22" t="n"/>
      <x:c r="C51" s="22" t="n"/>
      <x:c r="D51" s="22" t="n"/>
      <x:c r="E51" s="22" t="n"/>
      <x:c r="F51" s="26">
        <x:f>IF(A51="","",IF(G51=0,"",IF(H51=G51,"COMPLETED",IF(I51=G51,"FAILED",IF(H51+I51+J51&gt;0,"PARTIAL","IN PROGRESS")))))</x:f>
      </x:c>
      <x:c r="G51" s="26">
        <x:f>IF(A51="","",COUNTIF('Invoice Detail'!$B$4:$B$503,A51))</x:f>
      </x:c>
      <x:c r="H51" s="26">
        <x:f>IF(A51="","",COUNTIFS('Invoice Detail'!$B$4:$B$503,A51,'Invoice Detail'!$O$4:$O$503,"DELIVERED"))</x:f>
      </x:c>
      <x:c r="I51" s="26">
        <x:f>IF(A51="","",COUNTIFS('Invoice Detail'!$B$4:$B$503,A51,'Invoice Detail'!$O$4:$O$503,"FAILED"))</x:f>
      </x:c>
      <x:c r="J51" s="26">
        <x:f>IF(A51="","",COUNTIFS('Invoice Detail'!$B$4:$B$503,A51,'Invoice Detail'!$O$4:$O$503,"PARTIAL"))</x:f>
      </x:c>
      <x:c r="K51" s="26">
        <x:f>IF(A51="","",COUNTIFS('Invoice Detail'!$B$4:$B$503,A51,'Invoice Detail'!$O$4:$O$503,"DELIVERED",'Invoice Detail'!$J$4:$J$503,FALSE)+COUNTIFS('Invoice Detail'!$B$4:$B$503,A51,'Invoice Detail'!$O$4:$O$503,"PARTIAL",'Invoice Detail'!$J$4:$J$503,FALSE))</x:f>
      </x:c>
      <x:c r="L51" s="24">
        <x:f>IF(A51="","",SUMIFS('Invoice Detail'!$H$4:$H$503,'Invoice Detail'!$B$4:$B$503,A51))</x:f>
      </x:c>
      <x:c r="M51" s="22" t="n"/>
    </x:row>
    <x:row r="52">
      <x:c r="A52" s="22" t="n"/>
      <x:c r="B52" s="22" t="n"/>
      <x:c r="C52" s="22" t="n"/>
      <x:c r="D52" s="22" t="n"/>
      <x:c r="E52" s="22" t="n"/>
      <x:c r="F52" s="26">
        <x:f>IF(A52="","",IF(G52=0,"",IF(H52=G52,"COMPLETED",IF(I52=G52,"FAILED",IF(H52+I52+J52&gt;0,"PARTIAL","IN PROGRESS")))))</x:f>
      </x:c>
      <x:c r="G52" s="26">
        <x:f>IF(A52="","",COUNTIF('Invoice Detail'!$B$4:$B$503,A52))</x:f>
      </x:c>
      <x:c r="H52" s="26">
        <x:f>IF(A52="","",COUNTIFS('Invoice Detail'!$B$4:$B$503,A52,'Invoice Detail'!$O$4:$O$503,"DELIVERED"))</x:f>
      </x:c>
      <x:c r="I52" s="26">
        <x:f>IF(A52="","",COUNTIFS('Invoice Detail'!$B$4:$B$503,A52,'Invoice Detail'!$O$4:$O$503,"FAILED"))</x:f>
      </x:c>
      <x:c r="J52" s="26">
        <x:f>IF(A52="","",COUNTIFS('Invoice Detail'!$B$4:$B$503,A52,'Invoice Detail'!$O$4:$O$503,"PARTIAL"))</x:f>
      </x:c>
      <x:c r="K52" s="26">
        <x:f>IF(A52="","",COUNTIFS('Invoice Detail'!$B$4:$B$503,A52,'Invoice Detail'!$O$4:$O$503,"DELIVERED",'Invoice Detail'!$J$4:$J$503,FALSE)+COUNTIFS('Invoice Detail'!$B$4:$B$503,A52,'Invoice Detail'!$O$4:$O$503,"PARTIAL",'Invoice Detail'!$J$4:$J$503,FALSE))</x:f>
      </x:c>
      <x:c r="L52" s="24">
        <x:f>IF(A52="","",SUMIFS('Invoice Detail'!$H$4:$H$503,'Invoice Detail'!$B$4:$B$503,A52))</x:f>
      </x:c>
      <x:c r="M52" s="22" t="n"/>
    </x:row>
    <x:row r="53">
      <x:c r="A53" s="22" t="n"/>
      <x:c r="B53" s="22" t="n"/>
      <x:c r="C53" s="22" t="n"/>
      <x:c r="D53" s="22" t="n"/>
      <x:c r="E53" s="22" t="n"/>
      <x:c r="F53" s="26">
        <x:f>IF(A53="","",IF(G53=0,"",IF(H53=G53,"COMPLETED",IF(I53=G53,"FAILED",IF(H53+I53+J53&gt;0,"PARTIAL","IN PROGRESS")))))</x:f>
      </x:c>
      <x:c r="G53" s="26">
        <x:f>IF(A53="","",COUNTIF('Invoice Detail'!$B$4:$B$503,A53))</x:f>
      </x:c>
      <x:c r="H53" s="26">
        <x:f>IF(A53="","",COUNTIFS('Invoice Detail'!$B$4:$B$503,A53,'Invoice Detail'!$O$4:$O$503,"DELIVERED"))</x:f>
      </x:c>
      <x:c r="I53" s="26">
        <x:f>IF(A53="","",COUNTIFS('Invoice Detail'!$B$4:$B$503,A53,'Invoice Detail'!$O$4:$O$503,"FAILED"))</x:f>
      </x:c>
      <x:c r="J53" s="26">
        <x:f>IF(A53="","",COUNTIFS('Invoice Detail'!$B$4:$B$503,A53,'Invoice Detail'!$O$4:$O$503,"PARTIAL"))</x:f>
      </x:c>
      <x:c r="K53" s="26">
        <x:f>IF(A53="","",COUNTIFS('Invoice Detail'!$B$4:$B$503,A53,'Invoice Detail'!$O$4:$O$503,"DELIVERED",'Invoice Detail'!$J$4:$J$503,FALSE)+COUNTIFS('Invoice Detail'!$B$4:$B$503,A53,'Invoice Detail'!$O$4:$O$503,"PARTIAL",'Invoice Detail'!$J$4:$J$503,FALSE))</x:f>
      </x:c>
      <x:c r="L53" s="24">
        <x:f>IF(A53="","",SUMIFS('Invoice Detail'!$H$4:$H$503,'Invoice Detail'!$B$4:$B$503,A53))</x:f>
      </x:c>
      <x:c r="M53" s="22" t="n"/>
    </x:row>
    <x:row r="54">
      <x:c r="A54" s="22" t="n"/>
      <x:c r="B54" s="22" t="n"/>
      <x:c r="C54" s="22" t="n"/>
      <x:c r="D54" s="22" t="n"/>
      <x:c r="E54" s="22" t="n"/>
      <x:c r="F54" s="26">
        <x:f>IF(A54="","",IF(G54=0,"",IF(H54=G54,"COMPLETED",IF(I54=G54,"FAILED",IF(H54+I54+J54&gt;0,"PARTIAL","IN PROGRESS")))))</x:f>
      </x:c>
      <x:c r="G54" s="26">
        <x:f>IF(A54="","",COUNTIF('Invoice Detail'!$B$4:$B$503,A54))</x:f>
      </x:c>
      <x:c r="H54" s="26">
        <x:f>IF(A54="","",COUNTIFS('Invoice Detail'!$B$4:$B$503,A54,'Invoice Detail'!$O$4:$O$503,"DELIVERED"))</x:f>
      </x:c>
      <x:c r="I54" s="26">
        <x:f>IF(A54="","",COUNTIFS('Invoice Detail'!$B$4:$B$503,A54,'Invoice Detail'!$O$4:$O$503,"FAILED"))</x:f>
      </x:c>
      <x:c r="J54" s="26">
        <x:f>IF(A54="","",COUNTIFS('Invoice Detail'!$B$4:$B$503,A54,'Invoice Detail'!$O$4:$O$503,"PARTIAL"))</x:f>
      </x:c>
      <x:c r="K54" s="26">
        <x:f>IF(A54="","",COUNTIFS('Invoice Detail'!$B$4:$B$503,A54,'Invoice Detail'!$O$4:$O$503,"DELIVERED",'Invoice Detail'!$J$4:$J$503,FALSE)+COUNTIFS('Invoice Detail'!$B$4:$B$503,A54,'Invoice Detail'!$O$4:$O$503,"PARTIAL",'Invoice Detail'!$J$4:$J$503,FALSE))</x:f>
      </x:c>
      <x:c r="L54" s="24">
        <x:f>IF(A54="","",SUMIFS('Invoice Detail'!$H$4:$H$503,'Invoice Detail'!$B$4:$B$503,A54))</x:f>
      </x:c>
      <x:c r="M54" s="22" t="n"/>
    </x:row>
    <x:row r="55">
      <x:c r="A55" s="22" t="n"/>
      <x:c r="B55" s="22" t="n"/>
      <x:c r="C55" s="22" t="n"/>
      <x:c r="D55" s="22" t="n"/>
      <x:c r="E55" s="22" t="n"/>
      <x:c r="F55" s="26">
        <x:f>IF(A55="","",IF(G55=0,"",IF(H55=G55,"COMPLETED",IF(I55=G55,"FAILED",IF(H55+I55+J55&gt;0,"PARTIAL","IN PROGRESS")))))</x:f>
      </x:c>
      <x:c r="G55" s="26">
        <x:f>IF(A55="","",COUNTIF('Invoice Detail'!$B$4:$B$503,A55))</x:f>
      </x:c>
      <x:c r="H55" s="26">
        <x:f>IF(A55="","",COUNTIFS('Invoice Detail'!$B$4:$B$503,A55,'Invoice Detail'!$O$4:$O$503,"DELIVERED"))</x:f>
      </x:c>
      <x:c r="I55" s="26">
        <x:f>IF(A55="","",COUNTIFS('Invoice Detail'!$B$4:$B$503,A55,'Invoice Detail'!$O$4:$O$503,"FAILED"))</x:f>
      </x:c>
      <x:c r="J55" s="26">
        <x:f>IF(A55="","",COUNTIFS('Invoice Detail'!$B$4:$B$503,A55,'Invoice Detail'!$O$4:$O$503,"PARTIAL"))</x:f>
      </x:c>
      <x:c r="K55" s="26">
        <x:f>IF(A55="","",COUNTIFS('Invoice Detail'!$B$4:$B$503,A55,'Invoice Detail'!$O$4:$O$503,"DELIVERED",'Invoice Detail'!$J$4:$J$503,FALSE)+COUNTIFS('Invoice Detail'!$B$4:$B$503,A55,'Invoice Detail'!$O$4:$O$503,"PARTIAL",'Invoice Detail'!$J$4:$J$503,FALSE))</x:f>
      </x:c>
      <x:c r="L55" s="24">
        <x:f>IF(A55="","",SUMIFS('Invoice Detail'!$H$4:$H$503,'Invoice Detail'!$B$4:$B$503,A55))</x:f>
      </x:c>
      <x:c r="M55" s="22" t="n"/>
    </x:row>
    <x:row r="56">
      <x:c r="A56" s="22" t="n"/>
      <x:c r="B56" s="22" t="n"/>
      <x:c r="C56" s="22" t="n"/>
      <x:c r="D56" s="22" t="n"/>
      <x:c r="E56" s="22" t="n"/>
      <x:c r="F56" s="26">
        <x:f>IF(A56="","",IF(G56=0,"",IF(H56=G56,"COMPLETED",IF(I56=G56,"FAILED",IF(H56+I56+J56&gt;0,"PARTIAL","IN PROGRESS")))))</x:f>
      </x:c>
      <x:c r="G56" s="26">
        <x:f>IF(A56="","",COUNTIF('Invoice Detail'!$B$4:$B$503,A56))</x:f>
      </x:c>
      <x:c r="H56" s="26">
        <x:f>IF(A56="","",COUNTIFS('Invoice Detail'!$B$4:$B$503,A56,'Invoice Detail'!$O$4:$O$503,"DELIVERED"))</x:f>
      </x:c>
      <x:c r="I56" s="26">
        <x:f>IF(A56="","",COUNTIFS('Invoice Detail'!$B$4:$B$503,A56,'Invoice Detail'!$O$4:$O$503,"FAILED"))</x:f>
      </x:c>
      <x:c r="J56" s="26">
        <x:f>IF(A56="","",COUNTIFS('Invoice Detail'!$B$4:$B$503,A56,'Invoice Detail'!$O$4:$O$503,"PARTIAL"))</x:f>
      </x:c>
      <x:c r="K56" s="26">
        <x:f>IF(A56="","",COUNTIFS('Invoice Detail'!$B$4:$B$503,A56,'Invoice Detail'!$O$4:$O$503,"DELIVERED",'Invoice Detail'!$J$4:$J$503,FALSE)+COUNTIFS('Invoice Detail'!$B$4:$B$503,A56,'Invoice Detail'!$O$4:$O$503,"PARTIAL",'Invoice Detail'!$J$4:$J$503,FALSE))</x:f>
      </x:c>
      <x:c r="L56" s="24">
        <x:f>IF(A56="","",SUMIFS('Invoice Detail'!$H$4:$H$503,'Invoice Detail'!$B$4:$B$503,A56))</x:f>
      </x:c>
      <x:c r="M56" s="22" t="n"/>
    </x:row>
    <x:row r="57">
      <x:c r="A57" s="22" t="n"/>
      <x:c r="B57" s="22" t="n"/>
      <x:c r="C57" s="22" t="n"/>
      <x:c r="D57" s="22" t="n"/>
      <x:c r="E57" s="22" t="n"/>
      <x:c r="F57" s="26">
        <x:f>IF(A57="","",IF(G57=0,"",IF(H57=G57,"COMPLETED",IF(I57=G57,"FAILED",IF(H57+I57+J57&gt;0,"PARTIAL","IN PROGRESS")))))</x:f>
      </x:c>
      <x:c r="G57" s="26">
        <x:f>IF(A57="","",COUNTIF('Invoice Detail'!$B$4:$B$503,A57))</x:f>
      </x:c>
      <x:c r="H57" s="26">
        <x:f>IF(A57="","",COUNTIFS('Invoice Detail'!$B$4:$B$503,A57,'Invoice Detail'!$O$4:$O$503,"DELIVERED"))</x:f>
      </x:c>
      <x:c r="I57" s="26">
        <x:f>IF(A57="","",COUNTIFS('Invoice Detail'!$B$4:$B$503,A57,'Invoice Detail'!$O$4:$O$503,"FAILED"))</x:f>
      </x:c>
      <x:c r="J57" s="26">
        <x:f>IF(A57="","",COUNTIFS('Invoice Detail'!$B$4:$B$503,A57,'Invoice Detail'!$O$4:$O$503,"PARTIAL"))</x:f>
      </x:c>
      <x:c r="K57" s="26">
        <x:f>IF(A57="","",COUNTIFS('Invoice Detail'!$B$4:$B$503,A57,'Invoice Detail'!$O$4:$O$503,"DELIVERED",'Invoice Detail'!$J$4:$J$503,FALSE)+COUNTIFS('Invoice Detail'!$B$4:$B$503,A57,'Invoice Detail'!$O$4:$O$503,"PARTIAL",'Invoice Detail'!$J$4:$J$503,FALSE))</x:f>
      </x:c>
      <x:c r="L57" s="24">
        <x:f>IF(A57="","",SUMIFS('Invoice Detail'!$H$4:$H$503,'Invoice Detail'!$B$4:$B$503,A57))</x:f>
      </x:c>
      <x:c r="M57" s="22" t="n"/>
    </x:row>
    <x:row r="58">
      <x:c r="A58" s="22" t="n"/>
      <x:c r="B58" s="22" t="n"/>
      <x:c r="C58" s="22" t="n"/>
      <x:c r="D58" s="22" t="n"/>
      <x:c r="E58" s="22" t="n"/>
      <x:c r="F58" s="26">
        <x:f>IF(A58="","",IF(G58=0,"",IF(H58=G58,"COMPLETED",IF(I58=G58,"FAILED",IF(H58+I58+J58&gt;0,"PARTIAL","IN PROGRESS")))))</x:f>
      </x:c>
      <x:c r="G58" s="26">
        <x:f>IF(A58="","",COUNTIF('Invoice Detail'!$B$4:$B$503,A58))</x:f>
      </x:c>
      <x:c r="H58" s="26">
        <x:f>IF(A58="","",COUNTIFS('Invoice Detail'!$B$4:$B$503,A58,'Invoice Detail'!$O$4:$O$503,"DELIVERED"))</x:f>
      </x:c>
      <x:c r="I58" s="26">
        <x:f>IF(A58="","",COUNTIFS('Invoice Detail'!$B$4:$B$503,A58,'Invoice Detail'!$O$4:$O$503,"FAILED"))</x:f>
      </x:c>
      <x:c r="J58" s="26">
        <x:f>IF(A58="","",COUNTIFS('Invoice Detail'!$B$4:$B$503,A58,'Invoice Detail'!$O$4:$O$503,"PARTIAL"))</x:f>
      </x:c>
      <x:c r="K58" s="26">
        <x:f>IF(A58="","",COUNTIFS('Invoice Detail'!$B$4:$B$503,A58,'Invoice Detail'!$O$4:$O$503,"DELIVERED",'Invoice Detail'!$J$4:$J$503,FALSE)+COUNTIFS('Invoice Detail'!$B$4:$B$503,A58,'Invoice Detail'!$O$4:$O$503,"PARTIAL",'Invoice Detail'!$J$4:$J$503,FALSE))</x:f>
      </x:c>
      <x:c r="L58" s="24">
        <x:f>IF(A58="","",SUMIFS('Invoice Detail'!$H$4:$H$503,'Invoice Detail'!$B$4:$B$503,A58))</x:f>
      </x:c>
      <x:c r="M58" s="22" t="n"/>
    </x:row>
    <x:row r="59">
      <x:c r="A59" s="22" t="n"/>
      <x:c r="B59" s="22" t="n"/>
      <x:c r="C59" s="22" t="n"/>
      <x:c r="D59" s="22" t="n"/>
      <x:c r="E59" s="22" t="n"/>
      <x:c r="F59" s="26">
        <x:f>IF(A59="","",IF(G59=0,"",IF(H59=G59,"COMPLETED",IF(I59=G59,"FAILED",IF(H59+I59+J59&gt;0,"PARTIAL","IN PROGRESS")))))</x:f>
      </x:c>
      <x:c r="G59" s="26">
        <x:f>IF(A59="","",COUNTIF('Invoice Detail'!$B$4:$B$503,A59))</x:f>
      </x:c>
      <x:c r="H59" s="26">
        <x:f>IF(A59="","",COUNTIFS('Invoice Detail'!$B$4:$B$503,A59,'Invoice Detail'!$O$4:$O$503,"DELIVERED"))</x:f>
      </x:c>
      <x:c r="I59" s="26">
        <x:f>IF(A59="","",COUNTIFS('Invoice Detail'!$B$4:$B$503,A59,'Invoice Detail'!$O$4:$O$503,"FAILED"))</x:f>
      </x:c>
      <x:c r="J59" s="26">
        <x:f>IF(A59="","",COUNTIFS('Invoice Detail'!$B$4:$B$503,A59,'Invoice Detail'!$O$4:$O$503,"PARTIAL"))</x:f>
      </x:c>
      <x:c r="K59" s="26">
        <x:f>IF(A59="","",COUNTIFS('Invoice Detail'!$B$4:$B$503,A59,'Invoice Detail'!$O$4:$O$503,"DELIVERED",'Invoice Detail'!$J$4:$J$503,FALSE)+COUNTIFS('Invoice Detail'!$B$4:$B$503,A59,'Invoice Detail'!$O$4:$O$503,"PARTIAL",'Invoice Detail'!$J$4:$J$503,FALSE))</x:f>
      </x:c>
      <x:c r="L59" s="24">
        <x:f>IF(A59="","",SUMIFS('Invoice Detail'!$H$4:$H$503,'Invoice Detail'!$B$4:$B$503,A59))</x:f>
      </x:c>
      <x:c r="M59" s="22" t="n"/>
    </x:row>
    <x:row r="60">
      <x:c r="A60" s="22" t="n"/>
      <x:c r="B60" s="22" t="n"/>
      <x:c r="C60" s="22" t="n"/>
      <x:c r="D60" s="22" t="n"/>
      <x:c r="E60" s="22" t="n"/>
      <x:c r="F60" s="26">
        <x:f>IF(A60="","",IF(G60=0,"",IF(H60=G60,"COMPLETED",IF(I60=G60,"FAILED",IF(H60+I60+J60&gt;0,"PARTIAL","IN PROGRESS")))))</x:f>
      </x:c>
      <x:c r="G60" s="26">
        <x:f>IF(A60="","",COUNTIF('Invoice Detail'!$B$4:$B$503,A60))</x:f>
      </x:c>
      <x:c r="H60" s="26">
        <x:f>IF(A60="","",COUNTIFS('Invoice Detail'!$B$4:$B$503,A60,'Invoice Detail'!$O$4:$O$503,"DELIVERED"))</x:f>
      </x:c>
      <x:c r="I60" s="26">
        <x:f>IF(A60="","",COUNTIFS('Invoice Detail'!$B$4:$B$503,A60,'Invoice Detail'!$O$4:$O$503,"FAILED"))</x:f>
      </x:c>
      <x:c r="J60" s="26">
        <x:f>IF(A60="","",COUNTIFS('Invoice Detail'!$B$4:$B$503,A60,'Invoice Detail'!$O$4:$O$503,"PARTIAL"))</x:f>
      </x:c>
      <x:c r="K60" s="26">
        <x:f>IF(A60="","",COUNTIFS('Invoice Detail'!$B$4:$B$503,A60,'Invoice Detail'!$O$4:$O$503,"DELIVERED",'Invoice Detail'!$J$4:$J$503,FALSE)+COUNTIFS('Invoice Detail'!$B$4:$B$503,A60,'Invoice Detail'!$O$4:$O$503,"PARTIAL",'Invoice Detail'!$J$4:$J$503,FALSE))</x:f>
      </x:c>
      <x:c r="L60" s="24">
        <x:f>IF(A60="","",SUMIFS('Invoice Detail'!$H$4:$H$503,'Invoice Detail'!$B$4:$B$503,A60))</x:f>
      </x:c>
      <x:c r="M60" s="22" t="n"/>
    </x:row>
    <x:row r="61">
      <x:c r="A61" s="22" t="n"/>
      <x:c r="B61" s="22" t="n"/>
      <x:c r="C61" s="22" t="n"/>
      <x:c r="D61" s="22" t="n"/>
      <x:c r="E61" s="22" t="n"/>
      <x:c r="F61" s="26">
        <x:f>IF(A61="","",IF(G61=0,"",IF(H61=G61,"COMPLETED",IF(I61=G61,"FAILED",IF(H61+I61+J61&gt;0,"PARTIAL","IN PROGRESS")))))</x:f>
      </x:c>
      <x:c r="G61" s="26">
        <x:f>IF(A61="","",COUNTIF('Invoice Detail'!$B$4:$B$503,A61))</x:f>
      </x:c>
      <x:c r="H61" s="26">
        <x:f>IF(A61="","",COUNTIFS('Invoice Detail'!$B$4:$B$503,A61,'Invoice Detail'!$O$4:$O$503,"DELIVERED"))</x:f>
      </x:c>
      <x:c r="I61" s="26">
        <x:f>IF(A61="","",COUNTIFS('Invoice Detail'!$B$4:$B$503,A61,'Invoice Detail'!$O$4:$O$503,"FAILED"))</x:f>
      </x:c>
      <x:c r="J61" s="26">
        <x:f>IF(A61="","",COUNTIFS('Invoice Detail'!$B$4:$B$503,A61,'Invoice Detail'!$O$4:$O$503,"PARTIAL"))</x:f>
      </x:c>
      <x:c r="K61" s="26">
        <x:f>IF(A61="","",COUNTIFS('Invoice Detail'!$B$4:$B$503,A61,'Invoice Detail'!$O$4:$O$503,"DELIVERED",'Invoice Detail'!$J$4:$J$503,FALSE)+COUNTIFS('Invoice Detail'!$B$4:$B$503,A61,'Invoice Detail'!$O$4:$O$503,"PARTIAL",'Invoice Detail'!$J$4:$J$503,FALSE))</x:f>
      </x:c>
      <x:c r="L61" s="24">
        <x:f>IF(A61="","",SUMIFS('Invoice Detail'!$H$4:$H$503,'Invoice Detail'!$B$4:$B$503,A61))</x:f>
      </x:c>
      <x:c r="M61" s="22" t="n"/>
    </x:row>
    <x:row r="62">
      <x:c r="A62" s="22" t="n"/>
      <x:c r="B62" s="22" t="n"/>
      <x:c r="C62" s="22" t="n"/>
      <x:c r="D62" s="22" t="n"/>
      <x:c r="E62" s="22" t="n"/>
      <x:c r="F62" s="26">
        <x:f>IF(A62="","",IF(G62=0,"",IF(H62=G62,"COMPLETED",IF(I62=G62,"FAILED",IF(H62+I62+J62&gt;0,"PARTIAL","IN PROGRESS")))))</x:f>
      </x:c>
      <x:c r="G62" s="26">
        <x:f>IF(A62="","",COUNTIF('Invoice Detail'!$B$4:$B$503,A62))</x:f>
      </x:c>
      <x:c r="H62" s="26">
        <x:f>IF(A62="","",COUNTIFS('Invoice Detail'!$B$4:$B$503,A62,'Invoice Detail'!$O$4:$O$503,"DELIVERED"))</x:f>
      </x:c>
      <x:c r="I62" s="26">
        <x:f>IF(A62="","",COUNTIFS('Invoice Detail'!$B$4:$B$503,A62,'Invoice Detail'!$O$4:$O$503,"FAILED"))</x:f>
      </x:c>
      <x:c r="J62" s="26">
        <x:f>IF(A62="","",COUNTIFS('Invoice Detail'!$B$4:$B$503,A62,'Invoice Detail'!$O$4:$O$503,"PARTIAL"))</x:f>
      </x:c>
      <x:c r="K62" s="26">
        <x:f>IF(A62="","",COUNTIFS('Invoice Detail'!$B$4:$B$503,A62,'Invoice Detail'!$O$4:$O$503,"DELIVERED",'Invoice Detail'!$J$4:$J$503,FALSE)+COUNTIFS('Invoice Detail'!$B$4:$B$503,A62,'Invoice Detail'!$O$4:$O$503,"PARTIAL",'Invoice Detail'!$J$4:$J$503,FALSE))</x:f>
      </x:c>
      <x:c r="L62" s="24">
        <x:f>IF(A62="","",SUMIFS('Invoice Detail'!$H$4:$H$503,'Invoice Detail'!$B$4:$B$503,A62))</x:f>
      </x:c>
      <x:c r="M62" s="22" t="n"/>
    </x:row>
    <x:row r="63">
      <x:c r="A63" s="22" t="n"/>
      <x:c r="B63" s="22" t="n"/>
      <x:c r="C63" s="22" t="n"/>
      <x:c r="D63" s="22" t="n"/>
      <x:c r="E63" s="22" t="n"/>
      <x:c r="F63" s="26">
        <x:f>IF(A63="","",IF(G63=0,"",IF(H63=G63,"COMPLETED",IF(I63=G63,"FAILED",IF(H63+I63+J63&gt;0,"PARTIAL","IN PROGRESS")))))</x:f>
      </x:c>
      <x:c r="G63" s="26">
        <x:f>IF(A63="","",COUNTIF('Invoice Detail'!$B$4:$B$503,A63))</x:f>
      </x:c>
      <x:c r="H63" s="26">
        <x:f>IF(A63="","",COUNTIFS('Invoice Detail'!$B$4:$B$503,A63,'Invoice Detail'!$O$4:$O$503,"DELIVERED"))</x:f>
      </x:c>
      <x:c r="I63" s="26">
        <x:f>IF(A63="","",COUNTIFS('Invoice Detail'!$B$4:$B$503,A63,'Invoice Detail'!$O$4:$O$503,"FAILED"))</x:f>
      </x:c>
      <x:c r="J63" s="26">
        <x:f>IF(A63="","",COUNTIFS('Invoice Detail'!$B$4:$B$503,A63,'Invoice Detail'!$O$4:$O$503,"PARTIAL"))</x:f>
      </x:c>
      <x:c r="K63" s="26">
        <x:f>IF(A63="","",COUNTIFS('Invoice Detail'!$B$4:$B$503,A63,'Invoice Detail'!$O$4:$O$503,"DELIVERED",'Invoice Detail'!$J$4:$J$503,FALSE)+COUNTIFS('Invoice Detail'!$B$4:$B$503,A63,'Invoice Detail'!$O$4:$O$503,"PARTIAL",'Invoice Detail'!$J$4:$J$503,FALSE))</x:f>
      </x:c>
      <x:c r="L63" s="24">
        <x:f>IF(A63="","",SUMIFS('Invoice Detail'!$H$4:$H$503,'Invoice Detail'!$B$4:$B$503,A63))</x:f>
      </x:c>
      <x:c r="M63" s="22" t="n"/>
    </x:row>
    <x:row r="64">
      <x:c r="A64" s="22" t="n"/>
      <x:c r="B64" s="22" t="n"/>
      <x:c r="C64" s="22" t="n"/>
      <x:c r="D64" s="22" t="n"/>
      <x:c r="E64" s="22" t="n"/>
      <x:c r="F64" s="26">
        <x:f>IF(A64="","",IF(G64=0,"",IF(H64=G64,"COMPLETED",IF(I64=G64,"FAILED",IF(H64+I64+J64&gt;0,"PARTIAL","IN PROGRESS")))))</x:f>
      </x:c>
      <x:c r="G64" s="26">
        <x:f>IF(A64="","",COUNTIF('Invoice Detail'!$B$4:$B$503,A64))</x:f>
      </x:c>
      <x:c r="H64" s="26">
        <x:f>IF(A64="","",COUNTIFS('Invoice Detail'!$B$4:$B$503,A64,'Invoice Detail'!$O$4:$O$503,"DELIVERED"))</x:f>
      </x:c>
      <x:c r="I64" s="26">
        <x:f>IF(A64="","",COUNTIFS('Invoice Detail'!$B$4:$B$503,A64,'Invoice Detail'!$O$4:$O$503,"FAILED"))</x:f>
      </x:c>
      <x:c r="J64" s="26">
        <x:f>IF(A64="","",COUNTIFS('Invoice Detail'!$B$4:$B$503,A64,'Invoice Detail'!$O$4:$O$503,"PARTIAL"))</x:f>
      </x:c>
      <x:c r="K64" s="26">
        <x:f>IF(A64="","",COUNTIFS('Invoice Detail'!$B$4:$B$503,A64,'Invoice Detail'!$O$4:$O$503,"DELIVERED",'Invoice Detail'!$J$4:$J$503,FALSE)+COUNTIFS('Invoice Detail'!$B$4:$B$503,A64,'Invoice Detail'!$O$4:$O$503,"PARTIAL",'Invoice Detail'!$J$4:$J$503,FALSE))</x:f>
      </x:c>
      <x:c r="L64" s="24">
        <x:f>IF(A64="","",SUMIFS('Invoice Detail'!$H$4:$H$503,'Invoice Detail'!$B$4:$B$503,A64))</x:f>
      </x:c>
      <x:c r="M64" s="22" t="n"/>
    </x:row>
    <x:row r="65">
      <x:c r="A65" s="22" t="n"/>
      <x:c r="B65" s="22" t="n"/>
      <x:c r="C65" s="22" t="n"/>
      <x:c r="D65" s="22" t="n"/>
      <x:c r="E65" s="22" t="n"/>
      <x:c r="F65" s="26">
        <x:f>IF(A65="","",IF(G65=0,"",IF(H65=G65,"COMPLETED",IF(I65=G65,"FAILED",IF(H65+I65+J65&gt;0,"PARTIAL","IN PROGRESS")))))</x:f>
      </x:c>
      <x:c r="G65" s="26">
        <x:f>IF(A65="","",COUNTIF('Invoice Detail'!$B$4:$B$503,A65))</x:f>
      </x:c>
      <x:c r="H65" s="26">
        <x:f>IF(A65="","",COUNTIFS('Invoice Detail'!$B$4:$B$503,A65,'Invoice Detail'!$O$4:$O$503,"DELIVERED"))</x:f>
      </x:c>
      <x:c r="I65" s="26">
        <x:f>IF(A65="","",COUNTIFS('Invoice Detail'!$B$4:$B$503,A65,'Invoice Detail'!$O$4:$O$503,"FAILED"))</x:f>
      </x:c>
      <x:c r="J65" s="26">
        <x:f>IF(A65="","",COUNTIFS('Invoice Detail'!$B$4:$B$503,A65,'Invoice Detail'!$O$4:$O$503,"PARTIAL"))</x:f>
      </x:c>
      <x:c r="K65" s="26">
        <x:f>IF(A65="","",COUNTIFS('Invoice Detail'!$B$4:$B$503,A65,'Invoice Detail'!$O$4:$O$503,"DELIVERED",'Invoice Detail'!$J$4:$J$503,FALSE)+COUNTIFS('Invoice Detail'!$B$4:$B$503,A65,'Invoice Detail'!$O$4:$O$503,"PARTIAL",'Invoice Detail'!$J$4:$J$503,FALSE))</x:f>
      </x:c>
      <x:c r="L65" s="24">
        <x:f>IF(A65="","",SUMIFS('Invoice Detail'!$H$4:$H$503,'Invoice Detail'!$B$4:$B$503,A65))</x:f>
      </x:c>
      <x:c r="M65" s="22" t="n"/>
    </x:row>
    <x:row r="66">
      <x:c r="A66" s="22" t="n"/>
      <x:c r="B66" s="22" t="n"/>
      <x:c r="C66" s="22" t="n"/>
      <x:c r="D66" s="22" t="n"/>
      <x:c r="E66" s="22" t="n"/>
      <x:c r="F66" s="26">
        <x:f>IF(A66="","",IF(G66=0,"",IF(H66=G66,"COMPLETED",IF(I66=G66,"FAILED",IF(H66+I66+J66&gt;0,"PARTIAL","IN PROGRESS")))))</x:f>
      </x:c>
      <x:c r="G66" s="26">
        <x:f>IF(A66="","",COUNTIF('Invoice Detail'!$B$4:$B$503,A66))</x:f>
      </x:c>
      <x:c r="H66" s="26">
        <x:f>IF(A66="","",COUNTIFS('Invoice Detail'!$B$4:$B$503,A66,'Invoice Detail'!$O$4:$O$503,"DELIVERED"))</x:f>
      </x:c>
      <x:c r="I66" s="26">
        <x:f>IF(A66="","",COUNTIFS('Invoice Detail'!$B$4:$B$503,A66,'Invoice Detail'!$O$4:$O$503,"FAILED"))</x:f>
      </x:c>
      <x:c r="J66" s="26">
        <x:f>IF(A66="","",COUNTIFS('Invoice Detail'!$B$4:$B$503,A66,'Invoice Detail'!$O$4:$O$503,"PARTIAL"))</x:f>
      </x:c>
      <x:c r="K66" s="26">
        <x:f>IF(A66="","",COUNTIFS('Invoice Detail'!$B$4:$B$503,A66,'Invoice Detail'!$O$4:$O$503,"DELIVERED",'Invoice Detail'!$J$4:$J$503,FALSE)+COUNTIFS('Invoice Detail'!$B$4:$B$503,A66,'Invoice Detail'!$O$4:$O$503,"PARTIAL",'Invoice Detail'!$J$4:$J$503,FALSE))</x:f>
      </x:c>
      <x:c r="L66" s="24">
        <x:f>IF(A66="","",SUMIFS('Invoice Detail'!$H$4:$H$503,'Invoice Detail'!$B$4:$B$503,A66))</x:f>
      </x:c>
      <x:c r="M66" s="22" t="n"/>
    </x:row>
    <x:row r="67">
      <x:c r="A67" s="22" t="n"/>
      <x:c r="B67" s="22" t="n"/>
      <x:c r="C67" s="22" t="n"/>
      <x:c r="D67" s="22" t="n"/>
      <x:c r="E67" s="22" t="n"/>
      <x:c r="F67" s="26">
        <x:f>IF(A67="","",IF(G67=0,"",IF(H67=G67,"COMPLETED",IF(I67=G67,"FAILED",IF(H67+I67+J67&gt;0,"PARTIAL","IN PROGRESS")))))</x:f>
      </x:c>
      <x:c r="G67" s="26">
        <x:f>IF(A67="","",COUNTIF('Invoice Detail'!$B$4:$B$503,A67))</x:f>
      </x:c>
      <x:c r="H67" s="26">
        <x:f>IF(A67="","",COUNTIFS('Invoice Detail'!$B$4:$B$503,A67,'Invoice Detail'!$O$4:$O$503,"DELIVERED"))</x:f>
      </x:c>
      <x:c r="I67" s="26">
        <x:f>IF(A67="","",COUNTIFS('Invoice Detail'!$B$4:$B$503,A67,'Invoice Detail'!$O$4:$O$503,"FAILED"))</x:f>
      </x:c>
      <x:c r="J67" s="26">
        <x:f>IF(A67="","",COUNTIFS('Invoice Detail'!$B$4:$B$503,A67,'Invoice Detail'!$O$4:$O$503,"PARTIAL"))</x:f>
      </x:c>
      <x:c r="K67" s="26">
        <x:f>IF(A67="","",COUNTIFS('Invoice Detail'!$B$4:$B$503,A67,'Invoice Detail'!$O$4:$O$503,"DELIVERED",'Invoice Detail'!$J$4:$J$503,FALSE)+COUNTIFS('Invoice Detail'!$B$4:$B$503,A67,'Invoice Detail'!$O$4:$O$503,"PARTIAL",'Invoice Detail'!$J$4:$J$503,FALSE))</x:f>
      </x:c>
      <x:c r="L67" s="24">
        <x:f>IF(A67="","",SUMIFS('Invoice Detail'!$H$4:$H$503,'Invoice Detail'!$B$4:$B$503,A67))</x:f>
      </x:c>
      <x:c r="M67" s="22" t="n"/>
    </x:row>
    <x:row r="68">
      <x:c r="A68" s="22" t="n"/>
      <x:c r="B68" s="22" t="n"/>
      <x:c r="C68" s="22" t="n"/>
      <x:c r="D68" s="22" t="n"/>
      <x:c r="E68" s="22" t="n"/>
      <x:c r="F68" s="26">
        <x:f>IF(A68="","",IF(G68=0,"",IF(H68=G68,"COMPLETED",IF(I68=G68,"FAILED",IF(H68+I68+J68&gt;0,"PARTIAL","IN PROGRESS")))))</x:f>
      </x:c>
      <x:c r="G68" s="26">
        <x:f>IF(A68="","",COUNTIF('Invoice Detail'!$B$4:$B$503,A68))</x:f>
      </x:c>
      <x:c r="H68" s="26">
        <x:f>IF(A68="","",COUNTIFS('Invoice Detail'!$B$4:$B$503,A68,'Invoice Detail'!$O$4:$O$503,"DELIVERED"))</x:f>
      </x:c>
      <x:c r="I68" s="26">
        <x:f>IF(A68="","",COUNTIFS('Invoice Detail'!$B$4:$B$503,A68,'Invoice Detail'!$O$4:$O$503,"FAILED"))</x:f>
      </x:c>
      <x:c r="J68" s="26">
        <x:f>IF(A68="","",COUNTIFS('Invoice Detail'!$B$4:$B$503,A68,'Invoice Detail'!$O$4:$O$503,"PARTIAL"))</x:f>
      </x:c>
      <x:c r="K68" s="26">
        <x:f>IF(A68="","",COUNTIFS('Invoice Detail'!$B$4:$B$503,A68,'Invoice Detail'!$O$4:$O$503,"DELIVERED",'Invoice Detail'!$J$4:$J$503,FALSE)+COUNTIFS('Invoice Detail'!$B$4:$B$503,A68,'Invoice Detail'!$O$4:$O$503,"PARTIAL",'Invoice Detail'!$J$4:$J$503,FALSE))</x:f>
      </x:c>
      <x:c r="L68" s="24">
        <x:f>IF(A68="","",SUMIFS('Invoice Detail'!$H$4:$H$503,'Invoice Detail'!$B$4:$B$503,A68))</x:f>
      </x:c>
      <x:c r="M68" s="22" t="n"/>
    </x:row>
    <x:row r="69">
      <x:c r="A69" s="22" t="n"/>
      <x:c r="B69" s="22" t="n"/>
      <x:c r="C69" s="22" t="n"/>
      <x:c r="D69" s="22" t="n"/>
      <x:c r="E69" s="22" t="n"/>
      <x:c r="F69" s="26">
        <x:f>IF(A69="","",IF(G69=0,"",IF(H69=G69,"COMPLETED",IF(I69=G69,"FAILED",IF(H69+I69+J69&gt;0,"PARTIAL","IN PROGRESS")))))</x:f>
      </x:c>
      <x:c r="G69" s="26">
        <x:f>IF(A69="","",COUNTIF('Invoice Detail'!$B$4:$B$503,A69))</x:f>
      </x:c>
      <x:c r="H69" s="26">
        <x:f>IF(A69="","",COUNTIFS('Invoice Detail'!$B$4:$B$503,A69,'Invoice Detail'!$O$4:$O$503,"DELIVERED"))</x:f>
      </x:c>
      <x:c r="I69" s="26">
        <x:f>IF(A69="","",COUNTIFS('Invoice Detail'!$B$4:$B$503,A69,'Invoice Detail'!$O$4:$O$503,"FAILED"))</x:f>
      </x:c>
      <x:c r="J69" s="26">
        <x:f>IF(A69="","",COUNTIFS('Invoice Detail'!$B$4:$B$503,A69,'Invoice Detail'!$O$4:$O$503,"PARTIAL"))</x:f>
      </x:c>
      <x:c r="K69" s="26">
        <x:f>IF(A69="","",COUNTIFS('Invoice Detail'!$B$4:$B$503,A69,'Invoice Detail'!$O$4:$O$503,"DELIVERED",'Invoice Detail'!$J$4:$J$503,FALSE)+COUNTIFS('Invoice Detail'!$B$4:$B$503,A69,'Invoice Detail'!$O$4:$O$503,"PARTIAL",'Invoice Detail'!$J$4:$J$503,FALSE))</x:f>
      </x:c>
      <x:c r="L69" s="24">
        <x:f>IF(A69="","",SUMIFS('Invoice Detail'!$H$4:$H$503,'Invoice Detail'!$B$4:$B$503,A69))</x:f>
      </x:c>
      <x:c r="M69" s="22" t="n"/>
    </x:row>
    <x:row r="70">
      <x:c r="A70" s="22" t="n"/>
      <x:c r="B70" s="22" t="n"/>
      <x:c r="C70" s="22" t="n"/>
      <x:c r="D70" s="22" t="n"/>
      <x:c r="E70" s="22" t="n"/>
      <x:c r="F70" s="26">
        <x:f>IF(A70="","",IF(G70=0,"",IF(H70=G70,"COMPLETED",IF(I70=G70,"FAILED",IF(H70+I70+J70&gt;0,"PARTIAL","IN PROGRESS")))))</x:f>
      </x:c>
      <x:c r="G70" s="26">
        <x:f>IF(A70="","",COUNTIF('Invoice Detail'!$B$4:$B$503,A70))</x:f>
      </x:c>
      <x:c r="H70" s="26">
        <x:f>IF(A70="","",COUNTIFS('Invoice Detail'!$B$4:$B$503,A70,'Invoice Detail'!$O$4:$O$503,"DELIVERED"))</x:f>
      </x:c>
      <x:c r="I70" s="26">
        <x:f>IF(A70="","",COUNTIFS('Invoice Detail'!$B$4:$B$503,A70,'Invoice Detail'!$O$4:$O$503,"FAILED"))</x:f>
      </x:c>
      <x:c r="J70" s="26">
        <x:f>IF(A70="","",COUNTIFS('Invoice Detail'!$B$4:$B$503,A70,'Invoice Detail'!$O$4:$O$503,"PARTIAL"))</x:f>
      </x:c>
      <x:c r="K70" s="26">
        <x:f>IF(A70="","",COUNTIFS('Invoice Detail'!$B$4:$B$503,A70,'Invoice Detail'!$O$4:$O$503,"DELIVERED",'Invoice Detail'!$J$4:$J$503,FALSE)+COUNTIFS('Invoice Detail'!$B$4:$B$503,A70,'Invoice Detail'!$O$4:$O$503,"PARTIAL",'Invoice Detail'!$J$4:$J$503,FALSE))</x:f>
      </x:c>
      <x:c r="L70" s="24">
        <x:f>IF(A70="","",SUMIFS('Invoice Detail'!$H$4:$H$503,'Invoice Detail'!$B$4:$B$503,A70))</x:f>
      </x:c>
      <x:c r="M70" s="22" t="n"/>
    </x:row>
    <x:row r="71">
      <x:c r="A71" s="22" t="n"/>
      <x:c r="B71" s="22" t="n"/>
      <x:c r="C71" s="22" t="n"/>
      <x:c r="D71" s="22" t="n"/>
      <x:c r="E71" s="22" t="n"/>
      <x:c r="F71" s="26">
        <x:f>IF(A71="","",IF(G71=0,"",IF(H71=G71,"COMPLETED",IF(I71=G71,"FAILED",IF(H71+I71+J71&gt;0,"PARTIAL","IN PROGRESS")))))</x:f>
      </x:c>
      <x:c r="G71" s="26">
        <x:f>IF(A71="","",COUNTIF('Invoice Detail'!$B$4:$B$503,A71))</x:f>
      </x:c>
      <x:c r="H71" s="26">
        <x:f>IF(A71="","",COUNTIFS('Invoice Detail'!$B$4:$B$503,A71,'Invoice Detail'!$O$4:$O$503,"DELIVERED"))</x:f>
      </x:c>
      <x:c r="I71" s="26">
        <x:f>IF(A71="","",COUNTIFS('Invoice Detail'!$B$4:$B$503,A71,'Invoice Detail'!$O$4:$O$503,"FAILED"))</x:f>
      </x:c>
      <x:c r="J71" s="26">
        <x:f>IF(A71="","",COUNTIFS('Invoice Detail'!$B$4:$B$503,A71,'Invoice Detail'!$O$4:$O$503,"PARTIAL"))</x:f>
      </x:c>
      <x:c r="K71" s="26">
        <x:f>IF(A71="","",COUNTIFS('Invoice Detail'!$B$4:$B$503,A71,'Invoice Detail'!$O$4:$O$503,"DELIVERED",'Invoice Detail'!$J$4:$J$503,FALSE)+COUNTIFS('Invoice Detail'!$B$4:$B$503,A71,'Invoice Detail'!$O$4:$O$503,"PARTIAL",'Invoice Detail'!$J$4:$J$503,FALSE))</x:f>
      </x:c>
      <x:c r="L71" s="24">
        <x:f>IF(A71="","",SUMIFS('Invoice Detail'!$H$4:$H$503,'Invoice Detail'!$B$4:$B$503,A71))</x:f>
      </x:c>
      <x:c r="M71" s="22" t="n"/>
    </x:row>
    <x:row r="72">
      <x:c r="A72" s="22" t="n"/>
      <x:c r="B72" s="22" t="n"/>
      <x:c r="C72" s="22" t="n"/>
      <x:c r="D72" s="22" t="n"/>
      <x:c r="E72" s="22" t="n"/>
      <x:c r="F72" s="26">
        <x:f>IF(A72="","",IF(G72=0,"",IF(H72=G72,"COMPLETED",IF(I72=G72,"FAILED",IF(H72+I72+J72&gt;0,"PARTIAL","IN PROGRESS")))))</x:f>
      </x:c>
      <x:c r="G72" s="26">
        <x:f>IF(A72="","",COUNTIF('Invoice Detail'!$B$4:$B$503,A72))</x:f>
      </x:c>
      <x:c r="H72" s="26">
        <x:f>IF(A72="","",COUNTIFS('Invoice Detail'!$B$4:$B$503,A72,'Invoice Detail'!$O$4:$O$503,"DELIVERED"))</x:f>
      </x:c>
      <x:c r="I72" s="26">
        <x:f>IF(A72="","",COUNTIFS('Invoice Detail'!$B$4:$B$503,A72,'Invoice Detail'!$O$4:$O$503,"FAILED"))</x:f>
      </x:c>
      <x:c r="J72" s="26">
        <x:f>IF(A72="","",COUNTIFS('Invoice Detail'!$B$4:$B$503,A72,'Invoice Detail'!$O$4:$O$503,"PARTIAL"))</x:f>
      </x:c>
      <x:c r="K72" s="26">
        <x:f>IF(A72="","",COUNTIFS('Invoice Detail'!$B$4:$B$503,A72,'Invoice Detail'!$O$4:$O$503,"DELIVERED",'Invoice Detail'!$J$4:$J$503,FALSE)+COUNTIFS('Invoice Detail'!$B$4:$B$503,A72,'Invoice Detail'!$O$4:$O$503,"PARTIAL",'Invoice Detail'!$J$4:$J$503,FALSE))</x:f>
      </x:c>
      <x:c r="L72" s="24">
        <x:f>IF(A72="","",SUMIFS('Invoice Detail'!$H$4:$H$503,'Invoice Detail'!$B$4:$B$503,A72))</x:f>
      </x:c>
      <x:c r="M72" s="22" t="n"/>
    </x:row>
    <x:row r="73">
      <x:c r="A73" s="22" t="n"/>
      <x:c r="B73" s="22" t="n"/>
      <x:c r="C73" s="22" t="n"/>
      <x:c r="D73" s="22" t="n"/>
      <x:c r="E73" s="22" t="n"/>
      <x:c r="F73" s="26">
        <x:f>IF(A73="","",IF(G73=0,"",IF(H73=G73,"COMPLETED",IF(I73=G73,"FAILED",IF(H73+I73+J73&gt;0,"PARTIAL","IN PROGRESS")))))</x:f>
      </x:c>
      <x:c r="G73" s="26">
        <x:f>IF(A73="","",COUNTIF('Invoice Detail'!$B$4:$B$503,A73))</x:f>
      </x:c>
      <x:c r="H73" s="26">
        <x:f>IF(A73="","",COUNTIFS('Invoice Detail'!$B$4:$B$503,A73,'Invoice Detail'!$O$4:$O$503,"DELIVERED"))</x:f>
      </x:c>
      <x:c r="I73" s="26">
        <x:f>IF(A73="","",COUNTIFS('Invoice Detail'!$B$4:$B$503,A73,'Invoice Detail'!$O$4:$O$503,"FAILED"))</x:f>
      </x:c>
      <x:c r="J73" s="26">
        <x:f>IF(A73="","",COUNTIFS('Invoice Detail'!$B$4:$B$503,A73,'Invoice Detail'!$O$4:$O$503,"PARTIAL"))</x:f>
      </x:c>
      <x:c r="K73" s="26">
        <x:f>IF(A73="","",COUNTIFS('Invoice Detail'!$B$4:$B$503,A73,'Invoice Detail'!$O$4:$O$503,"DELIVERED",'Invoice Detail'!$J$4:$J$503,FALSE)+COUNTIFS('Invoice Detail'!$B$4:$B$503,A73,'Invoice Detail'!$O$4:$O$503,"PARTIAL",'Invoice Detail'!$J$4:$J$503,FALSE))</x:f>
      </x:c>
      <x:c r="L73" s="24">
        <x:f>IF(A73="","",SUMIFS('Invoice Detail'!$H$4:$H$503,'Invoice Detail'!$B$4:$B$503,A73))</x:f>
      </x:c>
      <x:c r="M73" s="22" t="n"/>
    </x:row>
    <x:row r="74">
      <x:c r="A74" s="22" t="n"/>
      <x:c r="B74" s="22" t="n"/>
      <x:c r="C74" s="22" t="n"/>
      <x:c r="D74" s="22" t="n"/>
      <x:c r="E74" s="22" t="n"/>
      <x:c r="F74" s="26">
        <x:f>IF(A74="","",IF(G74=0,"",IF(H74=G74,"COMPLETED",IF(I74=G74,"FAILED",IF(H74+I74+J74&gt;0,"PARTIAL","IN PROGRESS")))))</x:f>
      </x:c>
      <x:c r="G74" s="26">
        <x:f>IF(A74="","",COUNTIF('Invoice Detail'!$B$4:$B$503,A74))</x:f>
      </x:c>
      <x:c r="H74" s="26">
        <x:f>IF(A74="","",COUNTIFS('Invoice Detail'!$B$4:$B$503,A74,'Invoice Detail'!$O$4:$O$503,"DELIVERED"))</x:f>
      </x:c>
      <x:c r="I74" s="26">
        <x:f>IF(A74="","",COUNTIFS('Invoice Detail'!$B$4:$B$503,A74,'Invoice Detail'!$O$4:$O$503,"FAILED"))</x:f>
      </x:c>
      <x:c r="J74" s="26">
        <x:f>IF(A74="","",COUNTIFS('Invoice Detail'!$B$4:$B$503,A74,'Invoice Detail'!$O$4:$O$503,"PARTIAL"))</x:f>
      </x:c>
      <x:c r="K74" s="26">
        <x:f>IF(A74="","",COUNTIFS('Invoice Detail'!$B$4:$B$503,A74,'Invoice Detail'!$O$4:$O$503,"DELIVERED",'Invoice Detail'!$J$4:$J$503,FALSE)+COUNTIFS('Invoice Detail'!$B$4:$B$503,A74,'Invoice Detail'!$O$4:$O$503,"PARTIAL",'Invoice Detail'!$J$4:$J$503,FALSE))</x:f>
      </x:c>
      <x:c r="L74" s="24">
        <x:f>IF(A74="","",SUMIFS('Invoice Detail'!$H$4:$H$503,'Invoice Detail'!$B$4:$B$503,A74))</x:f>
      </x:c>
      <x:c r="M74" s="22" t="n"/>
    </x:row>
    <x:row r="75">
      <x:c r="A75" s="22" t="n"/>
      <x:c r="B75" s="22" t="n"/>
      <x:c r="C75" s="22" t="n"/>
      <x:c r="D75" s="22" t="n"/>
      <x:c r="E75" s="22" t="n"/>
      <x:c r="F75" s="26">
        <x:f>IF(A75="","",IF(G75=0,"",IF(H75=G75,"COMPLETED",IF(I75=G75,"FAILED",IF(H75+I75+J75&gt;0,"PARTIAL","IN PROGRESS")))))</x:f>
      </x:c>
      <x:c r="G75" s="26">
        <x:f>IF(A75="","",COUNTIF('Invoice Detail'!$B$4:$B$503,A75))</x:f>
      </x:c>
      <x:c r="H75" s="26">
        <x:f>IF(A75="","",COUNTIFS('Invoice Detail'!$B$4:$B$503,A75,'Invoice Detail'!$O$4:$O$503,"DELIVERED"))</x:f>
      </x:c>
      <x:c r="I75" s="26">
        <x:f>IF(A75="","",COUNTIFS('Invoice Detail'!$B$4:$B$503,A75,'Invoice Detail'!$O$4:$O$503,"FAILED"))</x:f>
      </x:c>
      <x:c r="J75" s="26">
        <x:f>IF(A75="","",COUNTIFS('Invoice Detail'!$B$4:$B$503,A75,'Invoice Detail'!$O$4:$O$503,"PARTIAL"))</x:f>
      </x:c>
      <x:c r="K75" s="26">
        <x:f>IF(A75="","",COUNTIFS('Invoice Detail'!$B$4:$B$503,A75,'Invoice Detail'!$O$4:$O$503,"DELIVERED",'Invoice Detail'!$J$4:$J$503,FALSE)+COUNTIFS('Invoice Detail'!$B$4:$B$503,A75,'Invoice Detail'!$O$4:$O$503,"PARTIAL",'Invoice Detail'!$J$4:$J$503,FALSE))</x:f>
      </x:c>
      <x:c r="L75" s="24">
        <x:f>IF(A75="","",SUMIFS('Invoice Detail'!$H$4:$H$503,'Invoice Detail'!$B$4:$B$503,A75))</x:f>
      </x:c>
      <x:c r="M75" s="22" t="n"/>
    </x:row>
    <x:row r="76">
      <x:c r="A76" s="22" t="n"/>
      <x:c r="B76" s="22" t="n"/>
      <x:c r="C76" s="22" t="n"/>
      <x:c r="D76" s="22" t="n"/>
      <x:c r="E76" s="22" t="n"/>
      <x:c r="F76" s="26">
        <x:f>IF(A76="","",IF(G76=0,"",IF(H76=G76,"COMPLETED",IF(I76=G76,"FAILED",IF(H76+I76+J76&gt;0,"PARTIAL","IN PROGRESS")))))</x:f>
      </x:c>
      <x:c r="G76" s="26">
        <x:f>IF(A76="","",COUNTIF('Invoice Detail'!$B$4:$B$503,A76))</x:f>
      </x:c>
      <x:c r="H76" s="26">
        <x:f>IF(A76="","",COUNTIFS('Invoice Detail'!$B$4:$B$503,A76,'Invoice Detail'!$O$4:$O$503,"DELIVERED"))</x:f>
      </x:c>
      <x:c r="I76" s="26">
        <x:f>IF(A76="","",COUNTIFS('Invoice Detail'!$B$4:$B$503,A76,'Invoice Detail'!$O$4:$O$503,"FAILED"))</x:f>
      </x:c>
      <x:c r="J76" s="26">
        <x:f>IF(A76="","",COUNTIFS('Invoice Detail'!$B$4:$B$503,A76,'Invoice Detail'!$O$4:$O$503,"PARTIAL"))</x:f>
      </x:c>
      <x:c r="K76" s="26">
        <x:f>IF(A76="","",COUNTIFS('Invoice Detail'!$B$4:$B$503,A76,'Invoice Detail'!$O$4:$O$503,"DELIVERED",'Invoice Detail'!$J$4:$J$503,FALSE)+COUNTIFS('Invoice Detail'!$B$4:$B$503,A76,'Invoice Detail'!$O$4:$O$503,"PARTIAL",'Invoice Detail'!$J$4:$J$503,FALSE))</x:f>
      </x:c>
      <x:c r="L76" s="24">
        <x:f>IF(A76="","",SUMIFS('Invoice Detail'!$H$4:$H$503,'Invoice Detail'!$B$4:$B$503,A76))</x:f>
      </x:c>
      <x:c r="M76" s="22" t="n"/>
    </x:row>
    <x:row r="77">
      <x:c r="A77" s="22" t="n"/>
      <x:c r="B77" s="22" t="n"/>
      <x:c r="C77" s="22" t="n"/>
      <x:c r="D77" s="22" t="n"/>
      <x:c r="E77" s="22" t="n"/>
      <x:c r="F77" s="26">
        <x:f>IF(A77="","",IF(G77=0,"",IF(H77=G77,"COMPLETED",IF(I77=G77,"FAILED",IF(H77+I77+J77&gt;0,"PARTIAL","IN PROGRESS")))))</x:f>
      </x:c>
      <x:c r="G77" s="26">
        <x:f>IF(A77="","",COUNTIF('Invoice Detail'!$B$4:$B$503,A77))</x:f>
      </x:c>
      <x:c r="H77" s="26">
        <x:f>IF(A77="","",COUNTIFS('Invoice Detail'!$B$4:$B$503,A77,'Invoice Detail'!$O$4:$O$503,"DELIVERED"))</x:f>
      </x:c>
      <x:c r="I77" s="26">
        <x:f>IF(A77="","",COUNTIFS('Invoice Detail'!$B$4:$B$503,A77,'Invoice Detail'!$O$4:$O$503,"FAILED"))</x:f>
      </x:c>
      <x:c r="J77" s="26">
        <x:f>IF(A77="","",COUNTIFS('Invoice Detail'!$B$4:$B$503,A77,'Invoice Detail'!$O$4:$O$503,"PARTIAL"))</x:f>
      </x:c>
      <x:c r="K77" s="26">
        <x:f>IF(A77="","",COUNTIFS('Invoice Detail'!$B$4:$B$503,A77,'Invoice Detail'!$O$4:$O$503,"DELIVERED",'Invoice Detail'!$J$4:$J$503,FALSE)+COUNTIFS('Invoice Detail'!$B$4:$B$503,A77,'Invoice Detail'!$O$4:$O$503,"PARTIAL",'Invoice Detail'!$J$4:$J$503,FALSE))</x:f>
      </x:c>
      <x:c r="L77" s="24">
        <x:f>IF(A77="","",SUMIFS('Invoice Detail'!$H$4:$H$503,'Invoice Detail'!$B$4:$B$503,A77))</x:f>
      </x:c>
      <x:c r="M77" s="22" t="n"/>
    </x:row>
    <x:row r="78">
      <x:c r="A78" s="22" t="n"/>
      <x:c r="B78" s="22" t="n"/>
      <x:c r="C78" s="22" t="n"/>
      <x:c r="D78" s="22" t="n"/>
      <x:c r="E78" s="22" t="n"/>
      <x:c r="F78" s="26">
        <x:f>IF(A78="","",IF(G78=0,"",IF(H78=G78,"COMPLETED",IF(I78=G78,"FAILED",IF(H78+I78+J78&gt;0,"PARTIAL","IN PROGRESS")))))</x:f>
      </x:c>
      <x:c r="G78" s="26">
        <x:f>IF(A78="","",COUNTIF('Invoice Detail'!$B$4:$B$503,A78))</x:f>
      </x:c>
      <x:c r="H78" s="26">
        <x:f>IF(A78="","",COUNTIFS('Invoice Detail'!$B$4:$B$503,A78,'Invoice Detail'!$O$4:$O$503,"DELIVERED"))</x:f>
      </x:c>
      <x:c r="I78" s="26">
        <x:f>IF(A78="","",COUNTIFS('Invoice Detail'!$B$4:$B$503,A78,'Invoice Detail'!$O$4:$O$503,"FAILED"))</x:f>
      </x:c>
      <x:c r="J78" s="26">
        <x:f>IF(A78="","",COUNTIFS('Invoice Detail'!$B$4:$B$503,A78,'Invoice Detail'!$O$4:$O$503,"PARTIAL"))</x:f>
      </x:c>
      <x:c r="K78" s="26">
        <x:f>IF(A78="","",COUNTIFS('Invoice Detail'!$B$4:$B$503,A78,'Invoice Detail'!$O$4:$O$503,"DELIVERED",'Invoice Detail'!$J$4:$J$503,FALSE)+COUNTIFS('Invoice Detail'!$B$4:$B$503,A78,'Invoice Detail'!$O$4:$O$503,"PARTIAL",'Invoice Detail'!$J$4:$J$503,FALSE))</x:f>
      </x:c>
      <x:c r="L78" s="24">
        <x:f>IF(A78="","",SUMIFS('Invoice Detail'!$H$4:$H$503,'Invoice Detail'!$B$4:$B$503,A78))</x:f>
      </x:c>
      <x:c r="M78" s="22" t="n"/>
    </x:row>
    <x:row r="79">
      <x:c r="A79" s="22" t="n"/>
      <x:c r="B79" s="22" t="n"/>
      <x:c r="C79" s="22" t="n"/>
      <x:c r="D79" s="22" t="n"/>
      <x:c r="E79" s="22" t="n"/>
      <x:c r="F79" s="26">
        <x:f>IF(A79="","",IF(G79=0,"",IF(H79=G79,"COMPLETED",IF(I79=G79,"FAILED",IF(H79+I79+J79&gt;0,"PARTIAL","IN PROGRESS")))))</x:f>
      </x:c>
      <x:c r="G79" s="26">
        <x:f>IF(A79="","",COUNTIF('Invoice Detail'!$B$4:$B$503,A79))</x:f>
      </x:c>
      <x:c r="H79" s="26">
        <x:f>IF(A79="","",COUNTIFS('Invoice Detail'!$B$4:$B$503,A79,'Invoice Detail'!$O$4:$O$503,"DELIVERED"))</x:f>
      </x:c>
      <x:c r="I79" s="26">
        <x:f>IF(A79="","",COUNTIFS('Invoice Detail'!$B$4:$B$503,A79,'Invoice Detail'!$O$4:$O$503,"FAILED"))</x:f>
      </x:c>
      <x:c r="J79" s="26">
        <x:f>IF(A79="","",COUNTIFS('Invoice Detail'!$B$4:$B$503,A79,'Invoice Detail'!$O$4:$O$503,"PARTIAL"))</x:f>
      </x:c>
      <x:c r="K79" s="26">
        <x:f>IF(A79="","",COUNTIFS('Invoice Detail'!$B$4:$B$503,A79,'Invoice Detail'!$O$4:$O$503,"DELIVERED",'Invoice Detail'!$J$4:$J$503,FALSE)+COUNTIFS('Invoice Detail'!$B$4:$B$503,A79,'Invoice Detail'!$O$4:$O$503,"PARTIAL",'Invoice Detail'!$J$4:$J$503,FALSE))</x:f>
      </x:c>
      <x:c r="L79" s="24">
        <x:f>IF(A79="","",SUMIFS('Invoice Detail'!$H$4:$H$503,'Invoice Detail'!$B$4:$B$503,A79))</x:f>
      </x:c>
      <x:c r="M79" s="22" t="n"/>
    </x:row>
    <x:row r="80">
      <x:c r="A80" s="22" t="n"/>
      <x:c r="B80" s="22" t="n"/>
      <x:c r="C80" s="22" t="n"/>
      <x:c r="D80" s="22" t="n"/>
      <x:c r="E80" s="22" t="n"/>
      <x:c r="F80" s="26">
        <x:f>IF(A80="","",IF(G80=0,"",IF(H80=G80,"COMPLETED",IF(I80=G80,"FAILED",IF(H80+I80+J80&gt;0,"PARTIAL","IN PROGRESS")))))</x:f>
      </x:c>
      <x:c r="G80" s="26">
        <x:f>IF(A80="","",COUNTIF('Invoice Detail'!$B$4:$B$503,A80))</x:f>
      </x:c>
      <x:c r="H80" s="26">
        <x:f>IF(A80="","",COUNTIFS('Invoice Detail'!$B$4:$B$503,A80,'Invoice Detail'!$O$4:$O$503,"DELIVERED"))</x:f>
      </x:c>
      <x:c r="I80" s="26">
        <x:f>IF(A80="","",COUNTIFS('Invoice Detail'!$B$4:$B$503,A80,'Invoice Detail'!$O$4:$O$503,"FAILED"))</x:f>
      </x:c>
      <x:c r="J80" s="26">
        <x:f>IF(A80="","",COUNTIFS('Invoice Detail'!$B$4:$B$503,A80,'Invoice Detail'!$O$4:$O$503,"PARTIAL"))</x:f>
      </x:c>
      <x:c r="K80" s="26">
        <x:f>IF(A80="","",COUNTIFS('Invoice Detail'!$B$4:$B$503,A80,'Invoice Detail'!$O$4:$O$503,"DELIVERED",'Invoice Detail'!$J$4:$J$503,FALSE)+COUNTIFS('Invoice Detail'!$B$4:$B$503,A80,'Invoice Detail'!$O$4:$O$503,"PARTIAL",'Invoice Detail'!$J$4:$J$503,FALSE))</x:f>
      </x:c>
      <x:c r="L80" s="24">
        <x:f>IF(A80="","",SUMIFS('Invoice Detail'!$H$4:$H$503,'Invoice Detail'!$B$4:$B$503,A80))</x:f>
      </x:c>
      <x:c r="M80" s="22" t="n"/>
    </x:row>
    <x:row r="81">
      <x:c r="A81" s="22" t="n"/>
      <x:c r="B81" s="22" t="n"/>
      <x:c r="C81" s="22" t="n"/>
      <x:c r="D81" s="22" t="n"/>
      <x:c r="E81" s="22" t="n"/>
      <x:c r="F81" s="26">
        <x:f>IF(A81="","",IF(G81=0,"",IF(H81=G81,"COMPLETED",IF(I81=G81,"FAILED",IF(H81+I81+J81&gt;0,"PARTIAL","IN PROGRESS")))))</x:f>
      </x:c>
      <x:c r="G81" s="26">
        <x:f>IF(A81="","",COUNTIF('Invoice Detail'!$B$4:$B$503,A81))</x:f>
      </x:c>
      <x:c r="H81" s="26">
        <x:f>IF(A81="","",COUNTIFS('Invoice Detail'!$B$4:$B$503,A81,'Invoice Detail'!$O$4:$O$503,"DELIVERED"))</x:f>
      </x:c>
      <x:c r="I81" s="26">
        <x:f>IF(A81="","",COUNTIFS('Invoice Detail'!$B$4:$B$503,A81,'Invoice Detail'!$O$4:$O$503,"FAILED"))</x:f>
      </x:c>
      <x:c r="J81" s="26">
        <x:f>IF(A81="","",COUNTIFS('Invoice Detail'!$B$4:$B$503,A81,'Invoice Detail'!$O$4:$O$503,"PARTIAL"))</x:f>
      </x:c>
      <x:c r="K81" s="26">
        <x:f>IF(A81="","",COUNTIFS('Invoice Detail'!$B$4:$B$503,A81,'Invoice Detail'!$O$4:$O$503,"DELIVERED",'Invoice Detail'!$J$4:$J$503,FALSE)+COUNTIFS('Invoice Detail'!$B$4:$B$503,A81,'Invoice Detail'!$O$4:$O$503,"PARTIAL",'Invoice Detail'!$J$4:$J$503,FALSE))</x:f>
      </x:c>
      <x:c r="L81" s="24">
        <x:f>IF(A81="","",SUMIFS('Invoice Detail'!$H$4:$H$503,'Invoice Detail'!$B$4:$B$503,A81))</x:f>
      </x:c>
      <x:c r="M81" s="22" t="n"/>
    </x:row>
    <x:row r="82">
      <x:c r="A82" s="22" t="n"/>
      <x:c r="B82" s="22" t="n"/>
      <x:c r="C82" s="22" t="n"/>
      <x:c r="D82" s="22" t="n"/>
      <x:c r="E82" s="22" t="n"/>
      <x:c r="F82" s="26">
        <x:f>IF(A82="","",IF(G82=0,"",IF(H82=G82,"COMPLETED",IF(I82=G82,"FAILED",IF(H82+I82+J82&gt;0,"PARTIAL","IN PROGRESS")))))</x:f>
      </x:c>
      <x:c r="G82" s="26">
        <x:f>IF(A82="","",COUNTIF('Invoice Detail'!$B$4:$B$503,A82))</x:f>
      </x:c>
      <x:c r="H82" s="26">
        <x:f>IF(A82="","",COUNTIFS('Invoice Detail'!$B$4:$B$503,A82,'Invoice Detail'!$O$4:$O$503,"DELIVERED"))</x:f>
      </x:c>
      <x:c r="I82" s="26">
        <x:f>IF(A82="","",COUNTIFS('Invoice Detail'!$B$4:$B$503,A82,'Invoice Detail'!$O$4:$O$503,"FAILED"))</x:f>
      </x:c>
      <x:c r="J82" s="26">
        <x:f>IF(A82="","",COUNTIFS('Invoice Detail'!$B$4:$B$503,A82,'Invoice Detail'!$O$4:$O$503,"PARTIAL"))</x:f>
      </x:c>
      <x:c r="K82" s="26">
        <x:f>IF(A82="","",COUNTIFS('Invoice Detail'!$B$4:$B$503,A82,'Invoice Detail'!$O$4:$O$503,"DELIVERED",'Invoice Detail'!$J$4:$J$503,FALSE)+COUNTIFS('Invoice Detail'!$B$4:$B$503,A82,'Invoice Detail'!$O$4:$O$503,"PARTIAL",'Invoice Detail'!$J$4:$J$503,FALSE))</x:f>
      </x:c>
      <x:c r="L82" s="24">
        <x:f>IF(A82="","",SUMIFS('Invoice Detail'!$H$4:$H$503,'Invoice Detail'!$B$4:$B$503,A82))</x:f>
      </x:c>
      <x:c r="M82" s="22" t="n"/>
    </x:row>
    <x:row r="83">
      <x:c r="A83" s="22" t="n"/>
      <x:c r="B83" s="22" t="n"/>
      <x:c r="C83" s="22" t="n"/>
      <x:c r="D83" s="22" t="n"/>
      <x:c r="E83" s="22" t="n"/>
      <x:c r="F83" s="26">
        <x:f>IF(A83="","",IF(G83=0,"",IF(H83=G83,"COMPLETED",IF(I83=G83,"FAILED",IF(H83+I83+J83&gt;0,"PARTIAL","IN PROGRESS")))))</x:f>
      </x:c>
      <x:c r="G83" s="26">
        <x:f>IF(A83="","",COUNTIF('Invoice Detail'!$B$4:$B$503,A83))</x:f>
      </x:c>
      <x:c r="H83" s="26">
        <x:f>IF(A83="","",COUNTIFS('Invoice Detail'!$B$4:$B$503,A83,'Invoice Detail'!$O$4:$O$503,"DELIVERED"))</x:f>
      </x:c>
      <x:c r="I83" s="26">
        <x:f>IF(A83="","",COUNTIFS('Invoice Detail'!$B$4:$B$503,A83,'Invoice Detail'!$O$4:$O$503,"FAILED"))</x:f>
      </x:c>
      <x:c r="J83" s="26">
        <x:f>IF(A83="","",COUNTIFS('Invoice Detail'!$B$4:$B$503,A83,'Invoice Detail'!$O$4:$O$503,"PARTIAL"))</x:f>
      </x:c>
      <x:c r="K83" s="26">
        <x:f>IF(A83="","",COUNTIFS('Invoice Detail'!$B$4:$B$503,A83,'Invoice Detail'!$O$4:$O$503,"DELIVERED",'Invoice Detail'!$J$4:$J$503,FALSE)+COUNTIFS('Invoice Detail'!$B$4:$B$503,A83,'Invoice Detail'!$O$4:$O$503,"PARTIAL",'Invoice Detail'!$J$4:$J$503,FALSE))</x:f>
      </x:c>
      <x:c r="L83" s="24">
        <x:f>IF(A83="","",SUMIFS('Invoice Detail'!$H$4:$H$503,'Invoice Detail'!$B$4:$B$503,A83))</x:f>
      </x:c>
      <x:c r="M83" s="22" t="n"/>
    </x:row>
    <x:row r="84">
      <x:c r="A84" s="22" t="n"/>
      <x:c r="B84" s="22" t="n"/>
      <x:c r="C84" s="22" t="n"/>
      <x:c r="D84" s="22" t="n"/>
      <x:c r="E84" s="22" t="n"/>
      <x:c r="F84" s="26">
        <x:f>IF(A84="","",IF(G84=0,"",IF(H84=G84,"COMPLETED",IF(I84=G84,"FAILED",IF(H84+I84+J84&gt;0,"PARTIAL","IN PROGRESS")))))</x:f>
      </x:c>
      <x:c r="G84" s="26">
        <x:f>IF(A84="","",COUNTIF('Invoice Detail'!$B$4:$B$503,A84))</x:f>
      </x:c>
      <x:c r="H84" s="26">
        <x:f>IF(A84="","",COUNTIFS('Invoice Detail'!$B$4:$B$503,A84,'Invoice Detail'!$O$4:$O$503,"DELIVERED"))</x:f>
      </x:c>
      <x:c r="I84" s="26">
        <x:f>IF(A84="","",COUNTIFS('Invoice Detail'!$B$4:$B$503,A84,'Invoice Detail'!$O$4:$O$503,"FAILED"))</x:f>
      </x:c>
      <x:c r="J84" s="26">
        <x:f>IF(A84="","",COUNTIFS('Invoice Detail'!$B$4:$B$503,A84,'Invoice Detail'!$O$4:$O$503,"PARTIAL"))</x:f>
      </x:c>
      <x:c r="K84" s="26">
        <x:f>IF(A84="","",COUNTIFS('Invoice Detail'!$B$4:$B$503,A84,'Invoice Detail'!$O$4:$O$503,"DELIVERED",'Invoice Detail'!$J$4:$J$503,FALSE)+COUNTIFS('Invoice Detail'!$B$4:$B$503,A84,'Invoice Detail'!$O$4:$O$503,"PARTIAL",'Invoice Detail'!$J$4:$J$503,FALSE))</x:f>
      </x:c>
      <x:c r="L84" s="24">
        <x:f>IF(A84="","",SUMIFS('Invoice Detail'!$H$4:$H$503,'Invoice Detail'!$B$4:$B$503,A84))</x:f>
      </x:c>
      <x:c r="M84" s="22" t="n"/>
    </x:row>
    <x:row r="85">
      <x:c r="A85" s="22" t="n"/>
      <x:c r="B85" s="22" t="n"/>
      <x:c r="C85" s="22" t="n"/>
      <x:c r="D85" s="22" t="n"/>
      <x:c r="E85" s="22" t="n"/>
      <x:c r="F85" s="26">
        <x:f>IF(A85="","",IF(G85=0,"",IF(H85=G85,"COMPLETED",IF(I85=G85,"FAILED",IF(H85+I85+J85&gt;0,"PARTIAL","IN PROGRESS")))))</x:f>
      </x:c>
      <x:c r="G85" s="26">
        <x:f>IF(A85="","",COUNTIF('Invoice Detail'!$B$4:$B$503,A85))</x:f>
      </x:c>
      <x:c r="H85" s="26">
        <x:f>IF(A85="","",COUNTIFS('Invoice Detail'!$B$4:$B$503,A85,'Invoice Detail'!$O$4:$O$503,"DELIVERED"))</x:f>
      </x:c>
      <x:c r="I85" s="26">
        <x:f>IF(A85="","",COUNTIFS('Invoice Detail'!$B$4:$B$503,A85,'Invoice Detail'!$O$4:$O$503,"FAILED"))</x:f>
      </x:c>
      <x:c r="J85" s="26">
        <x:f>IF(A85="","",COUNTIFS('Invoice Detail'!$B$4:$B$503,A85,'Invoice Detail'!$O$4:$O$503,"PARTIAL"))</x:f>
      </x:c>
      <x:c r="K85" s="26">
        <x:f>IF(A85="","",COUNTIFS('Invoice Detail'!$B$4:$B$503,A85,'Invoice Detail'!$O$4:$O$503,"DELIVERED",'Invoice Detail'!$J$4:$J$503,FALSE)+COUNTIFS('Invoice Detail'!$B$4:$B$503,A85,'Invoice Detail'!$O$4:$O$503,"PARTIAL",'Invoice Detail'!$J$4:$J$503,FALSE))</x:f>
      </x:c>
      <x:c r="L85" s="24">
        <x:f>IF(A85="","",SUMIFS('Invoice Detail'!$H$4:$H$503,'Invoice Detail'!$B$4:$B$503,A85))</x:f>
      </x:c>
      <x:c r="M85" s="22" t="n"/>
    </x:row>
    <x:row r="86">
      <x:c r="A86" s="22" t="n"/>
      <x:c r="B86" s="22" t="n"/>
      <x:c r="C86" s="22" t="n"/>
      <x:c r="D86" s="22" t="n"/>
      <x:c r="E86" s="22" t="n"/>
      <x:c r="F86" s="26">
        <x:f>IF(A86="","",IF(G86=0,"",IF(H86=G86,"COMPLETED",IF(I86=G86,"FAILED",IF(H86+I86+J86&gt;0,"PARTIAL","IN PROGRESS")))))</x:f>
      </x:c>
      <x:c r="G86" s="26">
        <x:f>IF(A86="","",COUNTIF('Invoice Detail'!$B$4:$B$503,A86))</x:f>
      </x:c>
      <x:c r="H86" s="26">
        <x:f>IF(A86="","",COUNTIFS('Invoice Detail'!$B$4:$B$503,A86,'Invoice Detail'!$O$4:$O$503,"DELIVERED"))</x:f>
      </x:c>
      <x:c r="I86" s="26">
        <x:f>IF(A86="","",COUNTIFS('Invoice Detail'!$B$4:$B$503,A86,'Invoice Detail'!$O$4:$O$503,"FAILED"))</x:f>
      </x:c>
      <x:c r="J86" s="26">
        <x:f>IF(A86="","",COUNTIFS('Invoice Detail'!$B$4:$B$503,A86,'Invoice Detail'!$O$4:$O$503,"PARTIAL"))</x:f>
      </x:c>
      <x:c r="K86" s="26">
        <x:f>IF(A86="","",COUNTIFS('Invoice Detail'!$B$4:$B$503,A86,'Invoice Detail'!$O$4:$O$503,"DELIVERED",'Invoice Detail'!$J$4:$J$503,FALSE)+COUNTIFS('Invoice Detail'!$B$4:$B$503,A86,'Invoice Detail'!$O$4:$O$503,"PARTIAL",'Invoice Detail'!$J$4:$J$503,FALSE))</x:f>
      </x:c>
      <x:c r="L86" s="24">
        <x:f>IF(A86="","",SUMIFS('Invoice Detail'!$H$4:$H$503,'Invoice Detail'!$B$4:$B$503,A86))</x:f>
      </x:c>
      <x:c r="M86" s="22" t="n"/>
    </x:row>
    <x:row r="87">
      <x:c r="A87" s="22" t="n"/>
      <x:c r="B87" s="22" t="n"/>
      <x:c r="C87" s="22" t="n"/>
      <x:c r="D87" s="22" t="n"/>
      <x:c r="E87" s="22" t="n"/>
      <x:c r="F87" s="26">
        <x:f>IF(A87="","",IF(G87=0,"",IF(H87=G87,"COMPLETED",IF(I87=G87,"FAILED",IF(H87+I87+J87&gt;0,"PARTIAL","IN PROGRESS")))))</x:f>
      </x:c>
      <x:c r="G87" s="26">
        <x:f>IF(A87="","",COUNTIF('Invoice Detail'!$B$4:$B$503,A87))</x:f>
      </x:c>
      <x:c r="H87" s="26">
        <x:f>IF(A87="","",COUNTIFS('Invoice Detail'!$B$4:$B$503,A87,'Invoice Detail'!$O$4:$O$503,"DELIVERED"))</x:f>
      </x:c>
      <x:c r="I87" s="26">
        <x:f>IF(A87="","",COUNTIFS('Invoice Detail'!$B$4:$B$503,A87,'Invoice Detail'!$O$4:$O$503,"FAILED"))</x:f>
      </x:c>
      <x:c r="J87" s="26">
        <x:f>IF(A87="","",COUNTIFS('Invoice Detail'!$B$4:$B$503,A87,'Invoice Detail'!$O$4:$O$503,"PARTIAL"))</x:f>
      </x:c>
      <x:c r="K87" s="26">
        <x:f>IF(A87="","",COUNTIFS('Invoice Detail'!$B$4:$B$503,A87,'Invoice Detail'!$O$4:$O$503,"DELIVERED",'Invoice Detail'!$J$4:$J$503,FALSE)+COUNTIFS('Invoice Detail'!$B$4:$B$503,A87,'Invoice Detail'!$O$4:$O$503,"PARTIAL",'Invoice Detail'!$J$4:$J$503,FALSE))</x:f>
      </x:c>
      <x:c r="L87" s="24">
        <x:f>IF(A87="","",SUMIFS('Invoice Detail'!$H$4:$H$503,'Invoice Detail'!$B$4:$B$503,A87))</x:f>
      </x:c>
      <x:c r="M87" s="22" t="n"/>
    </x:row>
    <x:row r="88">
      <x:c r="A88" s="22" t="n"/>
      <x:c r="B88" s="22" t="n"/>
      <x:c r="C88" s="22" t="n"/>
      <x:c r="D88" s="22" t="n"/>
      <x:c r="E88" s="22" t="n"/>
      <x:c r="F88" s="26">
        <x:f>IF(A88="","",IF(G88=0,"",IF(H88=G88,"COMPLETED",IF(I88=G88,"FAILED",IF(H88+I88+J88&gt;0,"PARTIAL","IN PROGRESS")))))</x:f>
      </x:c>
      <x:c r="G88" s="26">
        <x:f>IF(A88="","",COUNTIF('Invoice Detail'!$B$4:$B$503,A88))</x:f>
      </x:c>
      <x:c r="H88" s="26">
        <x:f>IF(A88="","",COUNTIFS('Invoice Detail'!$B$4:$B$503,A88,'Invoice Detail'!$O$4:$O$503,"DELIVERED"))</x:f>
      </x:c>
      <x:c r="I88" s="26">
        <x:f>IF(A88="","",COUNTIFS('Invoice Detail'!$B$4:$B$503,A88,'Invoice Detail'!$O$4:$O$503,"FAILED"))</x:f>
      </x:c>
      <x:c r="J88" s="26">
        <x:f>IF(A88="","",COUNTIFS('Invoice Detail'!$B$4:$B$503,A88,'Invoice Detail'!$O$4:$O$503,"PARTIAL"))</x:f>
      </x:c>
      <x:c r="K88" s="26">
        <x:f>IF(A88="","",COUNTIFS('Invoice Detail'!$B$4:$B$503,A88,'Invoice Detail'!$O$4:$O$503,"DELIVERED",'Invoice Detail'!$J$4:$J$503,FALSE)+COUNTIFS('Invoice Detail'!$B$4:$B$503,A88,'Invoice Detail'!$O$4:$O$503,"PARTIAL",'Invoice Detail'!$J$4:$J$503,FALSE))</x:f>
      </x:c>
      <x:c r="L88" s="24">
        <x:f>IF(A88="","",SUMIFS('Invoice Detail'!$H$4:$H$503,'Invoice Detail'!$B$4:$B$503,A88))</x:f>
      </x:c>
      <x:c r="M88" s="22" t="n"/>
    </x:row>
    <x:row r="89">
      <x:c r="A89" s="22" t="n"/>
      <x:c r="B89" s="22" t="n"/>
      <x:c r="C89" s="22" t="n"/>
      <x:c r="D89" s="22" t="n"/>
      <x:c r="E89" s="22" t="n"/>
      <x:c r="F89" s="26">
        <x:f>IF(A89="","",IF(G89=0,"",IF(H89=G89,"COMPLETED",IF(I89=G89,"FAILED",IF(H89+I89+J89&gt;0,"PARTIAL","IN PROGRESS")))))</x:f>
      </x:c>
      <x:c r="G89" s="26">
        <x:f>IF(A89="","",COUNTIF('Invoice Detail'!$B$4:$B$503,A89))</x:f>
      </x:c>
      <x:c r="H89" s="26">
        <x:f>IF(A89="","",COUNTIFS('Invoice Detail'!$B$4:$B$503,A89,'Invoice Detail'!$O$4:$O$503,"DELIVERED"))</x:f>
      </x:c>
      <x:c r="I89" s="26">
        <x:f>IF(A89="","",COUNTIFS('Invoice Detail'!$B$4:$B$503,A89,'Invoice Detail'!$O$4:$O$503,"FAILED"))</x:f>
      </x:c>
      <x:c r="J89" s="26">
        <x:f>IF(A89="","",COUNTIFS('Invoice Detail'!$B$4:$B$503,A89,'Invoice Detail'!$O$4:$O$503,"PARTIAL"))</x:f>
      </x:c>
      <x:c r="K89" s="26">
        <x:f>IF(A89="","",COUNTIFS('Invoice Detail'!$B$4:$B$503,A89,'Invoice Detail'!$O$4:$O$503,"DELIVERED",'Invoice Detail'!$J$4:$J$503,FALSE)+COUNTIFS('Invoice Detail'!$B$4:$B$503,A89,'Invoice Detail'!$O$4:$O$503,"PARTIAL",'Invoice Detail'!$J$4:$J$503,FALSE))</x:f>
      </x:c>
      <x:c r="L89" s="24">
        <x:f>IF(A89="","",SUMIFS('Invoice Detail'!$H$4:$H$503,'Invoice Detail'!$B$4:$B$503,A89))</x:f>
      </x:c>
      <x:c r="M89" s="22" t="n"/>
    </x:row>
    <x:row r="90">
      <x:c r="A90" s="22" t="n"/>
      <x:c r="B90" s="22" t="n"/>
      <x:c r="C90" s="22" t="n"/>
      <x:c r="D90" s="22" t="n"/>
      <x:c r="E90" s="22" t="n"/>
      <x:c r="F90" s="26">
        <x:f>IF(A90="","",IF(G90=0,"",IF(H90=G90,"COMPLETED",IF(I90=G90,"FAILED",IF(H90+I90+J90&gt;0,"PARTIAL","IN PROGRESS")))))</x:f>
      </x:c>
      <x:c r="G90" s="26">
        <x:f>IF(A90="","",COUNTIF('Invoice Detail'!$B$4:$B$503,A90))</x:f>
      </x:c>
      <x:c r="H90" s="26">
        <x:f>IF(A90="","",COUNTIFS('Invoice Detail'!$B$4:$B$503,A90,'Invoice Detail'!$O$4:$O$503,"DELIVERED"))</x:f>
      </x:c>
      <x:c r="I90" s="26">
        <x:f>IF(A90="","",COUNTIFS('Invoice Detail'!$B$4:$B$503,A90,'Invoice Detail'!$O$4:$O$503,"FAILED"))</x:f>
      </x:c>
      <x:c r="J90" s="26">
        <x:f>IF(A90="","",COUNTIFS('Invoice Detail'!$B$4:$B$503,A90,'Invoice Detail'!$O$4:$O$503,"PARTIAL"))</x:f>
      </x:c>
      <x:c r="K90" s="26">
        <x:f>IF(A90="","",COUNTIFS('Invoice Detail'!$B$4:$B$503,A90,'Invoice Detail'!$O$4:$O$503,"DELIVERED",'Invoice Detail'!$J$4:$J$503,FALSE)+COUNTIFS('Invoice Detail'!$B$4:$B$503,A90,'Invoice Detail'!$O$4:$O$503,"PARTIAL",'Invoice Detail'!$J$4:$J$503,FALSE))</x:f>
      </x:c>
      <x:c r="L90" s="24">
        <x:f>IF(A90="","",SUMIFS('Invoice Detail'!$H$4:$H$503,'Invoice Detail'!$B$4:$B$503,A90))</x:f>
      </x:c>
      <x:c r="M90" s="22" t="n"/>
    </x:row>
    <x:row r="91">
      <x:c r="A91" s="22" t="n"/>
      <x:c r="B91" s="22" t="n"/>
      <x:c r="C91" s="22" t="n"/>
      <x:c r="D91" s="22" t="n"/>
      <x:c r="E91" s="22" t="n"/>
      <x:c r="F91" s="26">
        <x:f>IF(A91="","",IF(G91=0,"",IF(H91=G91,"COMPLETED",IF(I91=G91,"FAILED",IF(H91+I91+J91&gt;0,"PARTIAL","IN PROGRESS")))))</x:f>
      </x:c>
      <x:c r="G91" s="26">
        <x:f>IF(A91="","",COUNTIF('Invoice Detail'!$B$4:$B$503,A91))</x:f>
      </x:c>
      <x:c r="H91" s="26">
        <x:f>IF(A91="","",COUNTIFS('Invoice Detail'!$B$4:$B$503,A91,'Invoice Detail'!$O$4:$O$503,"DELIVERED"))</x:f>
      </x:c>
      <x:c r="I91" s="26">
        <x:f>IF(A91="","",COUNTIFS('Invoice Detail'!$B$4:$B$503,A91,'Invoice Detail'!$O$4:$O$503,"FAILED"))</x:f>
      </x:c>
      <x:c r="J91" s="26">
        <x:f>IF(A91="","",COUNTIFS('Invoice Detail'!$B$4:$B$503,A91,'Invoice Detail'!$O$4:$O$503,"PARTIAL"))</x:f>
      </x:c>
      <x:c r="K91" s="26">
        <x:f>IF(A91="","",COUNTIFS('Invoice Detail'!$B$4:$B$503,A91,'Invoice Detail'!$O$4:$O$503,"DELIVERED",'Invoice Detail'!$J$4:$J$503,FALSE)+COUNTIFS('Invoice Detail'!$B$4:$B$503,A91,'Invoice Detail'!$O$4:$O$503,"PARTIAL",'Invoice Detail'!$J$4:$J$503,FALSE))</x:f>
      </x:c>
      <x:c r="L91" s="24">
        <x:f>IF(A91="","",SUMIFS('Invoice Detail'!$H$4:$H$503,'Invoice Detail'!$B$4:$B$503,A91))</x:f>
      </x:c>
      <x:c r="M91" s="22" t="n"/>
    </x:row>
    <x:row r="92">
      <x:c r="A92" s="22" t="n"/>
      <x:c r="B92" s="22" t="n"/>
      <x:c r="C92" s="22" t="n"/>
      <x:c r="D92" s="22" t="n"/>
      <x:c r="E92" s="22" t="n"/>
      <x:c r="F92" s="26">
        <x:f>IF(A92="","",IF(G92=0,"",IF(H92=G92,"COMPLETED",IF(I92=G92,"FAILED",IF(H92+I92+J92&gt;0,"PARTIAL","IN PROGRESS")))))</x:f>
      </x:c>
      <x:c r="G92" s="26">
        <x:f>IF(A92="","",COUNTIF('Invoice Detail'!$B$4:$B$503,A92))</x:f>
      </x:c>
      <x:c r="H92" s="26">
        <x:f>IF(A92="","",COUNTIFS('Invoice Detail'!$B$4:$B$503,A92,'Invoice Detail'!$O$4:$O$503,"DELIVERED"))</x:f>
      </x:c>
      <x:c r="I92" s="26">
        <x:f>IF(A92="","",COUNTIFS('Invoice Detail'!$B$4:$B$503,A92,'Invoice Detail'!$O$4:$O$503,"FAILED"))</x:f>
      </x:c>
      <x:c r="J92" s="26">
        <x:f>IF(A92="","",COUNTIFS('Invoice Detail'!$B$4:$B$503,A92,'Invoice Detail'!$O$4:$O$503,"PARTIAL"))</x:f>
      </x:c>
      <x:c r="K92" s="26">
        <x:f>IF(A92="","",COUNTIFS('Invoice Detail'!$B$4:$B$503,A92,'Invoice Detail'!$O$4:$O$503,"DELIVERED",'Invoice Detail'!$J$4:$J$503,FALSE)+COUNTIFS('Invoice Detail'!$B$4:$B$503,A92,'Invoice Detail'!$O$4:$O$503,"PARTIAL",'Invoice Detail'!$J$4:$J$503,FALSE))</x:f>
      </x:c>
      <x:c r="L92" s="24">
        <x:f>IF(A92="","",SUMIFS('Invoice Detail'!$H$4:$H$503,'Invoice Detail'!$B$4:$B$503,A92))</x:f>
      </x:c>
      <x:c r="M92" s="22" t="n"/>
    </x:row>
    <x:row r="93">
      <x:c r="A93" s="22" t="n"/>
      <x:c r="B93" s="22" t="n"/>
      <x:c r="C93" s="22" t="n"/>
      <x:c r="D93" s="22" t="n"/>
      <x:c r="E93" s="22" t="n"/>
      <x:c r="F93" s="26">
        <x:f>IF(A93="","",IF(G93=0,"",IF(H93=G93,"COMPLETED",IF(I93=G93,"FAILED",IF(H93+I93+J93&gt;0,"PARTIAL","IN PROGRESS")))))</x:f>
      </x:c>
      <x:c r="G93" s="26">
        <x:f>IF(A93="","",COUNTIF('Invoice Detail'!$B$4:$B$503,A93))</x:f>
      </x:c>
      <x:c r="H93" s="26">
        <x:f>IF(A93="","",COUNTIFS('Invoice Detail'!$B$4:$B$503,A93,'Invoice Detail'!$O$4:$O$503,"DELIVERED"))</x:f>
      </x:c>
      <x:c r="I93" s="26">
        <x:f>IF(A93="","",COUNTIFS('Invoice Detail'!$B$4:$B$503,A93,'Invoice Detail'!$O$4:$O$503,"FAILED"))</x:f>
      </x:c>
      <x:c r="J93" s="26">
        <x:f>IF(A93="","",COUNTIFS('Invoice Detail'!$B$4:$B$503,A93,'Invoice Detail'!$O$4:$O$503,"PARTIAL"))</x:f>
      </x:c>
      <x:c r="K93" s="26">
        <x:f>IF(A93="","",COUNTIFS('Invoice Detail'!$B$4:$B$503,A93,'Invoice Detail'!$O$4:$O$503,"DELIVERED",'Invoice Detail'!$J$4:$J$503,FALSE)+COUNTIFS('Invoice Detail'!$B$4:$B$503,A93,'Invoice Detail'!$O$4:$O$503,"PARTIAL",'Invoice Detail'!$J$4:$J$503,FALSE))</x:f>
      </x:c>
      <x:c r="L93" s="24">
        <x:f>IF(A93="","",SUMIFS('Invoice Detail'!$H$4:$H$503,'Invoice Detail'!$B$4:$B$503,A93))</x:f>
      </x:c>
      <x:c r="M93" s="22" t="n"/>
    </x:row>
    <x:row r="94">
      <x:c r="A94" s="22" t="n"/>
      <x:c r="B94" s="22" t="n"/>
      <x:c r="C94" s="22" t="n"/>
      <x:c r="D94" s="22" t="n"/>
      <x:c r="E94" s="22" t="n"/>
      <x:c r="F94" s="26">
        <x:f>IF(A94="","",IF(G94=0,"",IF(H94=G94,"COMPLETED",IF(I94=G94,"FAILED",IF(H94+I94+J94&gt;0,"PARTIAL","IN PROGRESS")))))</x:f>
      </x:c>
      <x:c r="G94" s="26">
        <x:f>IF(A94="","",COUNTIF('Invoice Detail'!$B$4:$B$503,A94))</x:f>
      </x:c>
      <x:c r="H94" s="26">
        <x:f>IF(A94="","",COUNTIFS('Invoice Detail'!$B$4:$B$503,A94,'Invoice Detail'!$O$4:$O$503,"DELIVERED"))</x:f>
      </x:c>
      <x:c r="I94" s="26">
        <x:f>IF(A94="","",COUNTIFS('Invoice Detail'!$B$4:$B$503,A94,'Invoice Detail'!$O$4:$O$503,"FAILED"))</x:f>
      </x:c>
      <x:c r="J94" s="26">
        <x:f>IF(A94="","",COUNTIFS('Invoice Detail'!$B$4:$B$503,A94,'Invoice Detail'!$O$4:$O$503,"PARTIAL"))</x:f>
      </x:c>
      <x:c r="K94" s="26">
        <x:f>IF(A94="","",COUNTIFS('Invoice Detail'!$B$4:$B$503,A94,'Invoice Detail'!$O$4:$O$503,"DELIVERED",'Invoice Detail'!$J$4:$J$503,FALSE)+COUNTIFS('Invoice Detail'!$B$4:$B$503,A94,'Invoice Detail'!$O$4:$O$503,"PARTIAL",'Invoice Detail'!$J$4:$J$503,FALSE))</x:f>
      </x:c>
      <x:c r="L94" s="24">
        <x:f>IF(A94="","",SUMIFS('Invoice Detail'!$H$4:$H$503,'Invoice Detail'!$B$4:$B$503,A94))</x:f>
      </x:c>
      <x:c r="M94" s="22" t="n"/>
    </x:row>
    <x:row r="95">
      <x:c r="A95" s="22" t="n"/>
      <x:c r="B95" s="22" t="n"/>
      <x:c r="C95" s="22" t="n"/>
      <x:c r="D95" s="22" t="n"/>
      <x:c r="E95" s="22" t="n"/>
      <x:c r="F95" s="26">
        <x:f>IF(A95="","",IF(G95=0,"",IF(H95=G95,"COMPLETED",IF(I95=G95,"FAILED",IF(H95+I95+J95&gt;0,"PARTIAL","IN PROGRESS")))))</x:f>
      </x:c>
      <x:c r="G95" s="26">
        <x:f>IF(A95="","",COUNTIF('Invoice Detail'!$B$4:$B$503,A95))</x:f>
      </x:c>
      <x:c r="H95" s="26">
        <x:f>IF(A95="","",COUNTIFS('Invoice Detail'!$B$4:$B$503,A95,'Invoice Detail'!$O$4:$O$503,"DELIVERED"))</x:f>
      </x:c>
      <x:c r="I95" s="26">
        <x:f>IF(A95="","",COUNTIFS('Invoice Detail'!$B$4:$B$503,A95,'Invoice Detail'!$O$4:$O$503,"FAILED"))</x:f>
      </x:c>
      <x:c r="J95" s="26">
        <x:f>IF(A95="","",COUNTIFS('Invoice Detail'!$B$4:$B$503,A95,'Invoice Detail'!$O$4:$O$503,"PARTIAL"))</x:f>
      </x:c>
      <x:c r="K95" s="26">
        <x:f>IF(A95="","",COUNTIFS('Invoice Detail'!$B$4:$B$503,A95,'Invoice Detail'!$O$4:$O$503,"DELIVERED",'Invoice Detail'!$J$4:$J$503,FALSE)+COUNTIFS('Invoice Detail'!$B$4:$B$503,A95,'Invoice Detail'!$O$4:$O$503,"PARTIAL",'Invoice Detail'!$J$4:$J$503,FALSE))</x:f>
      </x:c>
      <x:c r="L95" s="24">
        <x:f>IF(A95="","",SUMIFS('Invoice Detail'!$H$4:$H$503,'Invoice Detail'!$B$4:$B$503,A95))</x:f>
      </x:c>
      <x:c r="M95" s="22" t="n"/>
    </x:row>
    <x:row r="96">
      <x:c r="A96" s="22" t="n"/>
      <x:c r="B96" s="22" t="n"/>
      <x:c r="C96" s="22" t="n"/>
      <x:c r="D96" s="22" t="n"/>
      <x:c r="E96" s="22" t="n"/>
      <x:c r="F96" s="26">
        <x:f>IF(A96="","",IF(G96=0,"",IF(H96=G96,"COMPLETED",IF(I96=G96,"FAILED",IF(H96+I96+J96&gt;0,"PARTIAL","IN PROGRESS")))))</x:f>
      </x:c>
      <x:c r="G96" s="26">
        <x:f>IF(A96="","",COUNTIF('Invoice Detail'!$B$4:$B$503,A96))</x:f>
      </x:c>
      <x:c r="H96" s="26">
        <x:f>IF(A96="","",COUNTIFS('Invoice Detail'!$B$4:$B$503,A96,'Invoice Detail'!$O$4:$O$503,"DELIVERED"))</x:f>
      </x:c>
      <x:c r="I96" s="26">
        <x:f>IF(A96="","",COUNTIFS('Invoice Detail'!$B$4:$B$503,A96,'Invoice Detail'!$O$4:$O$503,"FAILED"))</x:f>
      </x:c>
      <x:c r="J96" s="26">
        <x:f>IF(A96="","",COUNTIFS('Invoice Detail'!$B$4:$B$503,A96,'Invoice Detail'!$O$4:$O$503,"PARTIAL"))</x:f>
      </x:c>
      <x:c r="K96" s="26">
        <x:f>IF(A96="","",COUNTIFS('Invoice Detail'!$B$4:$B$503,A96,'Invoice Detail'!$O$4:$O$503,"DELIVERED",'Invoice Detail'!$J$4:$J$503,FALSE)+COUNTIFS('Invoice Detail'!$B$4:$B$503,A96,'Invoice Detail'!$O$4:$O$503,"PARTIAL",'Invoice Detail'!$J$4:$J$503,FALSE))</x:f>
      </x:c>
      <x:c r="L96" s="24">
        <x:f>IF(A96="","",SUMIFS('Invoice Detail'!$H$4:$H$503,'Invoice Detail'!$B$4:$B$503,A96))</x:f>
      </x:c>
      <x:c r="M96" s="22" t="n"/>
    </x:row>
    <x:row r="97">
      <x:c r="A97" s="22" t="n"/>
      <x:c r="B97" s="22" t="n"/>
      <x:c r="C97" s="22" t="n"/>
      <x:c r="D97" s="22" t="n"/>
      <x:c r="E97" s="22" t="n"/>
      <x:c r="F97" s="26">
        <x:f>IF(A97="","",IF(G97=0,"",IF(H97=G97,"COMPLETED",IF(I97=G97,"FAILED",IF(H97+I97+J97&gt;0,"PARTIAL","IN PROGRESS")))))</x:f>
      </x:c>
      <x:c r="G97" s="26">
        <x:f>IF(A97="","",COUNTIF('Invoice Detail'!$B$4:$B$503,A97))</x:f>
      </x:c>
      <x:c r="H97" s="26">
        <x:f>IF(A97="","",COUNTIFS('Invoice Detail'!$B$4:$B$503,A97,'Invoice Detail'!$O$4:$O$503,"DELIVERED"))</x:f>
      </x:c>
      <x:c r="I97" s="26">
        <x:f>IF(A97="","",COUNTIFS('Invoice Detail'!$B$4:$B$503,A97,'Invoice Detail'!$O$4:$O$503,"FAILED"))</x:f>
      </x:c>
      <x:c r="J97" s="26">
        <x:f>IF(A97="","",COUNTIFS('Invoice Detail'!$B$4:$B$503,A97,'Invoice Detail'!$O$4:$O$503,"PARTIAL"))</x:f>
      </x:c>
      <x:c r="K97" s="26">
        <x:f>IF(A97="","",COUNTIFS('Invoice Detail'!$B$4:$B$503,A97,'Invoice Detail'!$O$4:$O$503,"DELIVERED",'Invoice Detail'!$J$4:$J$503,FALSE)+COUNTIFS('Invoice Detail'!$B$4:$B$503,A97,'Invoice Detail'!$O$4:$O$503,"PARTIAL",'Invoice Detail'!$J$4:$J$503,FALSE))</x:f>
      </x:c>
      <x:c r="L97" s="24">
        <x:f>IF(A97="","",SUMIFS('Invoice Detail'!$H$4:$H$503,'Invoice Detail'!$B$4:$B$503,A97))</x:f>
      </x:c>
      <x:c r="M97" s="22" t="n"/>
    </x:row>
    <x:row r="98">
      <x:c r="A98" s="22" t="n"/>
      <x:c r="B98" s="22" t="n"/>
      <x:c r="C98" s="22" t="n"/>
      <x:c r="D98" s="22" t="n"/>
      <x:c r="E98" s="22" t="n"/>
      <x:c r="F98" s="26">
        <x:f>IF(A98="","",IF(G98=0,"",IF(H98=G98,"COMPLETED",IF(I98=G98,"FAILED",IF(H98+I98+J98&gt;0,"PARTIAL","IN PROGRESS")))))</x:f>
      </x:c>
      <x:c r="G98" s="26">
        <x:f>IF(A98="","",COUNTIF('Invoice Detail'!$B$4:$B$503,A98))</x:f>
      </x:c>
      <x:c r="H98" s="26">
        <x:f>IF(A98="","",COUNTIFS('Invoice Detail'!$B$4:$B$503,A98,'Invoice Detail'!$O$4:$O$503,"DELIVERED"))</x:f>
      </x:c>
      <x:c r="I98" s="26">
        <x:f>IF(A98="","",COUNTIFS('Invoice Detail'!$B$4:$B$503,A98,'Invoice Detail'!$O$4:$O$503,"FAILED"))</x:f>
      </x:c>
      <x:c r="J98" s="26">
        <x:f>IF(A98="","",COUNTIFS('Invoice Detail'!$B$4:$B$503,A98,'Invoice Detail'!$O$4:$O$503,"PARTIAL"))</x:f>
      </x:c>
      <x:c r="K98" s="26">
        <x:f>IF(A98="","",COUNTIFS('Invoice Detail'!$B$4:$B$503,A98,'Invoice Detail'!$O$4:$O$503,"DELIVERED",'Invoice Detail'!$J$4:$J$503,FALSE)+COUNTIFS('Invoice Detail'!$B$4:$B$503,A98,'Invoice Detail'!$O$4:$O$503,"PARTIAL",'Invoice Detail'!$J$4:$J$503,FALSE))</x:f>
      </x:c>
      <x:c r="L98" s="24">
        <x:f>IF(A98="","",SUMIFS('Invoice Detail'!$H$4:$H$503,'Invoice Detail'!$B$4:$B$503,A98))</x:f>
      </x:c>
      <x:c r="M98" s="22" t="n"/>
    </x:row>
    <x:row r="99">
      <x:c r="A99" s="22" t="n"/>
      <x:c r="B99" s="22" t="n"/>
      <x:c r="C99" s="22" t="n"/>
      <x:c r="D99" s="22" t="n"/>
      <x:c r="E99" s="22" t="n"/>
      <x:c r="F99" s="26">
        <x:f>IF(A99="","",IF(G99=0,"",IF(H99=G99,"COMPLETED",IF(I99=G99,"FAILED",IF(H99+I99+J99&gt;0,"PARTIAL","IN PROGRESS")))))</x:f>
      </x:c>
      <x:c r="G99" s="26">
        <x:f>IF(A99="","",COUNTIF('Invoice Detail'!$B$4:$B$503,A99))</x:f>
      </x:c>
      <x:c r="H99" s="26">
        <x:f>IF(A99="","",COUNTIFS('Invoice Detail'!$B$4:$B$503,A99,'Invoice Detail'!$O$4:$O$503,"DELIVERED"))</x:f>
      </x:c>
      <x:c r="I99" s="26">
        <x:f>IF(A99="","",COUNTIFS('Invoice Detail'!$B$4:$B$503,A99,'Invoice Detail'!$O$4:$O$503,"FAILED"))</x:f>
      </x:c>
      <x:c r="J99" s="26">
        <x:f>IF(A99="","",COUNTIFS('Invoice Detail'!$B$4:$B$503,A99,'Invoice Detail'!$O$4:$O$503,"PARTIAL"))</x:f>
      </x:c>
      <x:c r="K99" s="26">
        <x:f>IF(A99="","",COUNTIFS('Invoice Detail'!$B$4:$B$503,A99,'Invoice Detail'!$O$4:$O$503,"DELIVERED",'Invoice Detail'!$J$4:$J$503,FALSE)+COUNTIFS('Invoice Detail'!$B$4:$B$503,A99,'Invoice Detail'!$O$4:$O$503,"PARTIAL",'Invoice Detail'!$J$4:$J$503,FALSE))</x:f>
      </x:c>
      <x:c r="L99" s="24">
        <x:f>IF(A99="","",SUMIFS('Invoice Detail'!$H$4:$H$503,'Invoice Detail'!$B$4:$B$503,A99))</x:f>
      </x:c>
      <x:c r="M99" s="22" t="n"/>
    </x:row>
    <x:row r="100">
      <x:c r="A100" s="22" t="n"/>
      <x:c r="B100" s="22" t="n"/>
      <x:c r="C100" s="22" t="n"/>
      <x:c r="D100" s="22" t="n"/>
      <x:c r="E100" s="22" t="n"/>
      <x:c r="F100" s="26">
        <x:f>IF(A100="","",IF(G100=0,"",IF(H100=G100,"COMPLETED",IF(I100=G100,"FAILED",IF(H100+I100+J100&gt;0,"PARTIAL","IN PROGRESS")))))</x:f>
      </x:c>
      <x:c r="G100" s="26">
        <x:f>IF(A100="","",COUNTIF('Invoice Detail'!$B$4:$B$503,A100))</x:f>
      </x:c>
      <x:c r="H100" s="26">
        <x:f>IF(A100="","",COUNTIFS('Invoice Detail'!$B$4:$B$503,A100,'Invoice Detail'!$O$4:$O$503,"DELIVERED"))</x:f>
      </x:c>
      <x:c r="I100" s="26">
        <x:f>IF(A100="","",COUNTIFS('Invoice Detail'!$B$4:$B$503,A100,'Invoice Detail'!$O$4:$O$503,"FAILED"))</x:f>
      </x:c>
      <x:c r="J100" s="26">
        <x:f>IF(A100="","",COUNTIFS('Invoice Detail'!$B$4:$B$503,A100,'Invoice Detail'!$O$4:$O$503,"PARTIAL"))</x:f>
      </x:c>
      <x:c r="K100" s="26">
        <x:f>IF(A100="","",COUNTIFS('Invoice Detail'!$B$4:$B$503,A100,'Invoice Detail'!$O$4:$O$503,"DELIVERED",'Invoice Detail'!$J$4:$J$503,FALSE)+COUNTIFS('Invoice Detail'!$B$4:$B$503,A100,'Invoice Detail'!$O$4:$O$503,"PARTIAL",'Invoice Detail'!$J$4:$J$503,FALSE))</x:f>
      </x:c>
      <x:c r="L100" s="24">
        <x:f>IF(A100="","",SUMIFS('Invoice Detail'!$H$4:$H$503,'Invoice Detail'!$B$4:$B$503,A100))</x:f>
      </x:c>
      <x:c r="M100" s="22" t="n"/>
    </x:row>
    <x:row r="101">
      <x:c r="A101" s="22" t="n"/>
      <x:c r="B101" s="22" t="n"/>
      <x:c r="C101" s="22" t="n"/>
      <x:c r="D101" s="22" t="n"/>
      <x:c r="E101" s="22" t="n"/>
      <x:c r="F101" s="26">
        <x:f>IF(A101="","",IF(G101=0,"",IF(H101=G101,"COMPLETED",IF(I101=G101,"FAILED",IF(H101+I101+J101&gt;0,"PARTIAL","IN PROGRESS")))))</x:f>
      </x:c>
      <x:c r="G101" s="26">
        <x:f>IF(A101="","",COUNTIF('Invoice Detail'!$B$4:$B$503,A101))</x:f>
      </x:c>
      <x:c r="H101" s="26">
        <x:f>IF(A101="","",COUNTIFS('Invoice Detail'!$B$4:$B$503,A101,'Invoice Detail'!$O$4:$O$503,"DELIVERED"))</x:f>
      </x:c>
      <x:c r="I101" s="26">
        <x:f>IF(A101="","",COUNTIFS('Invoice Detail'!$B$4:$B$503,A101,'Invoice Detail'!$O$4:$O$503,"FAILED"))</x:f>
      </x:c>
      <x:c r="J101" s="26">
        <x:f>IF(A101="","",COUNTIFS('Invoice Detail'!$B$4:$B$503,A101,'Invoice Detail'!$O$4:$O$503,"PARTIAL"))</x:f>
      </x:c>
      <x:c r="K101" s="26">
        <x:f>IF(A101="","",COUNTIFS('Invoice Detail'!$B$4:$B$503,A101,'Invoice Detail'!$O$4:$O$503,"DELIVERED",'Invoice Detail'!$J$4:$J$503,FALSE)+COUNTIFS('Invoice Detail'!$B$4:$B$503,A101,'Invoice Detail'!$O$4:$O$503,"PARTIAL",'Invoice Detail'!$J$4:$J$503,FALSE))</x:f>
      </x:c>
      <x:c r="L101" s="24">
        <x:f>IF(A101="","",SUMIFS('Invoice Detail'!$H$4:$H$503,'Invoice Detail'!$B$4:$B$503,A101))</x:f>
      </x:c>
      <x:c r="M101" s="22" t="n"/>
    </x:row>
    <x:row r="102">
      <x:c r="A102" s="22" t="n"/>
      <x:c r="B102" s="22" t="n"/>
      <x:c r="C102" s="22" t="n"/>
      <x:c r="D102" s="22" t="n"/>
      <x:c r="E102" s="22" t="n"/>
      <x:c r="F102" s="26">
        <x:f>IF(A102="","",IF(G102=0,"",IF(H102=G102,"COMPLETED",IF(I102=G102,"FAILED",IF(H102+I102+J102&gt;0,"PARTIAL","IN PROGRESS")))))</x:f>
      </x:c>
      <x:c r="G102" s="26">
        <x:f>IF(A102="","",COUNTIF('Invoice Detail'!$B$4:$B$503,A102))</x:f>
      </x:c>
      <x:c r="H102" s="26">
        <x:f>IF(A102="","",COUNTIFS('Invoice Detail'!$B$4:$B$503,A102,'Invoice Detail'!$O$4:$O$503,"DELIVERED"))</x:f>
      </x:c>
      <x:c r="I102" s="26">
        <x:f>IF(A102="","",COUNTIFS('Invoice Detail'!$B$4:$B$503,A102,'Invoice Detail'!$O$4:$O$503,"FAILED"))</x:f>
      </x:c>
      <x:c r="J102" s="26">
        <x:f>IF(A102="","",COUNTIFS('Invoice Detail'!$B$4:$B$503,A102,'Invoice Detail'!$O$4:$O$503,"PARTIAL"))</x:f>
      </x:c>
      <x:c r="K102" s="26">
        <x:f>IF(A102="","",COUNTIFS('Invoice Detail'!$B$4:$B$503,A102,'Invoice Detail'!$O$4:$O$503,"DELIVERED",'Invoice Detail'!$J$4:$J$503,FALSE)+COUNTIFS('Invoice Detail'!$B$4:$B$503,A102,'Invoice Detail'!$O$4:$O$503,"PARTIAL",'Invoice Detail'!$J$4:$J$503,FALSE))</x:f>
      </x:c>
      <x:c r="L102" s="24">
        <x:f>IF(A102="","",SUMIFS('Invoice Detail'!$H$4:$H$503,'Invoice Detail'!$B$4:$B$503,A102))</x:f>
      </x:c>
      <x:c r="M102" s="22" t="n"/>
    </x:row>
    <x:row r="103">
      <x:c r="A103" s="22" t="n"/>
      <x:c r="B103" s="22" t="n"/>
      <x:c r="C103" s="22" t="n"/>
      <x:c r="D103" s="22" t="n"/>
      <x:c r="E103" s="22" t="n"/>
      <x:c r="F103" s="26">
        <x:f>IF(A103="","",IF(G103=0,"",IF(H103=G103,"COMPLETED",IF(I103=G103,"FAILED",IF(H103+I103+J103&gt;0,"PARTIAL","IN PROGRESS")))))</x:f>
      </x:c>
      <x:c r="G103" s="26">
        <x:f>IF(A103="","",COUNTIF('Invoice Detail'!$B$4:$B$503,A103))</x:f>
      </x:c>
      <x:c r="H103" s="26">
        <x:f>IF(A103="","",COUNTIFS('Invoice Detail'!$B$4:$B$503,A103,'Invoice Detail'!$O$4:$O$503,"DELIVERED"))</x:f>
      </x:c>
      <x:c r="I103" s="26">
        <x:f>IF(A103="","",COUNTIFS('Invoice Detail'!$B$4:$B$503,A103,'Invoice Detail'!$O$4:$O$503,"FAILED"))</x:f>
      </x:c>
      <x:c r="J103" s="26">
        <x:f>IF(A103="","",COUNTIFS('Invoice Detail'!$B$4:$B$503,A103,'Invoice Detail'!$O$4:$O$503,"PARTIAL"))</x:f>
      </x:c>
      <x:c r="K103" s="26">
        <x:f>IF(A103="","",COUNTIFS('Invoice Detail'!$B$4:$B$503,A103,'Invoice Detail'!$O$4:$O$503,"DELIVERED",'Invoice Detail'!$J$4:$J$503,FALSE)+COUNTIFS('Invoice Detail'!$B$4:$B$503,A103,'Invoice Detail'!$O$4:$O$503,"PARTIAL",'Invoice Detail'!$J$4:$J$503,FALSE))</x:f>
      </x:c>
      <x:c r="L103" s="24">
        <x:f>IF(A103="","",SUMIFS('Invoice Detail'!$H$4:$H$503,'Invoice Detail'!$B$4:$B$503,A103))</x:f>
      </x:c>
      <x:c r="M103" s="22" t="n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8" customWidth="1"/>
    <x:col min="3" max="3" width="14" customWidth="1"/>
    <x:col min="4" max="4" width="12" customWidth="1"/>
    <x:col min="5" max="5" width="12" customWidth="1"/>
    <x:col min="6" max="6" width="12" customWidth="1"/>
    <x:col min="7" max="7" width="14" customWidth="1"/>
    <x:col min="8" max="8" width="28" customWidth="1"/>
  </x:cols>
  <x:sheetData>
    <x:row r="1" ht="28" customHeight="1">
      <x:c r="A1" s="1" t="inlineStr">
        <x:is>
          <x:t xml:space="preserve">Exception Register (Auto Counts + Filter Instructions)</x:t>
        </x:is>
      </x:c>
    </x:row>
    <x:row r="3">
      <x:c r="A3" s="27" t="inlineStr">
        <x:is>
          <x:t xml:space="preserve">How to use</x:t>
        </x:is>
      </x:c>
      <x:c r="B3" s="4" t="n"/>
      <x:c r="C3" s="4" t="n"/>
      <x:c r="D3" s="4" t="n"/>
      <x:c r="E3" s="4" t="n"/>
      <x:c r="F3" s="4" t="n"/>
      <x:c r="G3" s="4" t="n"/>
      <x:c r="H3" s="5" t="n"/>
    </x:row>
    <x:row r="4" ht="18" customHeight="1">
      <x:c r="A4" s="28" t="inlineStr">
        <x:is>
          <x:t xml:space="preserve">1) Go to 'Invoice Detail' sheet, apply filter on column 'Exception Flag' = TRUE.</x:t>
        </x:is>
      </x:c>
      <x:c r="B4" s="4" t="n"/>
      <x:c r="C4" s="4" t="n"/>
      <x:c r="D4" s="4" t="n"/>
      <x:c r="E4" s="4" t="n"/>
      <x:c r="F4" s="4" t="n"/>
      <x:c r="G4" s="4" t="n"/>
      <x:c r="H4" s="5" t="n"/>
    </x:row>
    <x:row r="5" ht="18" customHeight="1">
      <x:c r="A5" s="28" t="inlineStr">
        <x:is>
          <x:t xml:space="preserve">2) Copy the filtered rows and paste here if you need a printable exception register.</x:t>
        </x:is>
      </x:c>
      <x:c r="B5" s="4" t="n"/>
      <x:c r="C5" s="4" t="n"/>
      <x:c r="D5" s="4" t="n"/>
      <x:c r="E5" s="4" t="n"/>
      <x:c r="F5" s="4" t="n"/>
      <x:c r="G5" s="4" t="n"/>
      <x:c r="H5" s="5" t="n"/>
    </x:row>
    <x:row r="6" ht="18" customHeight="1">
      <x:c r="A6" s="28" t="inlineStr">
        <x:is>
          <x:t xml:space="preserve">3) Counts below are auto-calculated from 'Invoice Detail'.</x:t>
        </x:is>
      </x:c>
      <x:c r="B6" s="4" t="n"/>
      <x:c r="C6" s="4" t="n"/>
      <x:c r="D6" s="4" t="n"/>
      <x:c r="E6" s="4" t="n"/>
      <x:c r="F6" s="4" t="n"/>
      <x:c r="G6" s="4" t="n"/>
      <x:c r="H6" s="5" t="n"/>
    </x:row>
    <x:row r="8" ht="20" customHeight="1">
      <x:c r="A8" s="6" t="inlineStr">
        <x:is>
          <x:t xml:space="preserve">Exception Counts</x:t>
        </x:is>
      </x:c>
    </x:row>
    <x:row r="9">
      <x:c r="A9" s="7" t="inlineStr">
        <x:is>
          <x:t xml:space="preserve">POD missing (Delivered/Partial)</x:t>
        </x:is>
      </x:c>
      <x:c r="B9" s="17">
        <x:f>COUNTIFS('Invoice Detail'!$O$4:$O$503,"DELIVERED",'Invoice Detail'!$J$4:$J$503,FALSE)+COUNTIFS('Invoice Detail'!$O$4:$O$503,"PARTIAL",'Invoice Detail'!$J$4:$J$503,FALSE)</x:f>
        <x:v>0</x:v>
      </x:c>
    </x:row>
    <x:row r="10">
      <x:c r="A10" s="7" t="inlineStr">
        <x:is>
          <x:t xml:space="preserve">Payment evidence missing</x:t>
        </x:is>
      </x:c>
      <x:c r="B10" s="17">
        <x:f>COUNTIFS('Invoice Detail'!$E$4:$E$503,"CASH",'Invoice Detail'!$I$4:$I$503,FALSE)+COUNTIFS('Invoice Detail'!$E$4:$E$503,"DAY CHEQUE",'Invoice Detail'!$I$4:$I$503,FALSE)+COUNTIFS('Invoice Detail'!$E$4:$E$503,"POST DATED CHQ",'Invoice Detail'!$I$4:$I$503,FALSE)</x:f>
        <x:v>0</x:v>
      </x:c>
    </x:row>
    <x:row r="11">
      <x:c r="A11" s="7" t="inlineStr">
        <x:is>
          <x:t xml:space="preserve">Receipt/Ack missing</x:t>
        </x:is>
      </x:c>
      <x:c r="B11" s="17">
        <x:f>COUNTIFS('Invoice Detail'!$E$4:$E$503,"CASH",'Invoice Detail'!$K$4:$K$503,FALSE)+COUNTIFS('Invoice Detail'!$E$4:$E$503,"DAY CHEQUE",'Invoice Detail'!$K$4:$K$503,FALSE)+COUNTIFS('Invoice Detail'!$E$4:$E$503,"POST DATED CHQ",'Invoice Detail'!$K$4:$K$503,FALSE)</x:f>
        <x:v>0</x:v>
      </x:c>
    </x:row>
    <x:row r="12">
      <x:c r="A12" s="7" t="inlineStr">
        <x:is>
          <x:t xml:space="preserve">COD variance ≠ 0</x:t>
        </x:is>
      </x:c>
      <x:c r="B12" s="17">
        <x:f>COUNTIFS('Invoice Detail'!$H$4:$H$503,"&gt;0")+COUNTIFS('Invoice Detail'!$H$4:$H$503,"&lt;0")</x:f>
        <x:v>0</x:v>
      </x:c>
    </x:row>
    <x:row r="13">
      <x:c r="A13" s="7" t="inlineStr">
        <x:is>
          <x:t xml:space="preserve">Discrepancy open</x:t>
        </x:is>
      </x:c>
      <x:c r="B13" s="17">
        <x:f>COUNTIF('Invoice Detail'!$P$4:$P$503,TRUE)</x:f>
        <x:v>0</x:v>
      </x:c>
    </x:row>
    <x:row r="14">
      <x:c r="A14" s="7" t="inlineStr">
        <x:is>
          <x:t xml:space="preserve">Post-delivery case open</x:t>
        </x:is>
      </x:c>
      <x:c r="B14" s="17">
        <x:f>COUNTIF('Invoice Detail'!$Q$4:$Q$503,TRUE)</x:f>
        <x:v>0</x:v>
      </x:c>
    </x:row>
    <x:row r="15">
      <x:c r="A15" s="7" t="inlineStr">
        <x:is>
          <x:t xml:space="preserve">Credit note required (missing)</x:t>
        </x:is>
      </x:c>
      <x:c r="B15" s="17">
        <x:f>COUNTIF('Invoice Detail'!$R$4:$R$503,TRUE)</x:f>
        <x:v>0</x:v>
      </x:c>
    </x:row>
    <x:row r="16">
      <x:c r="A16" s="7" t="inlineStr">
        <x:is>
          <x:t xml:space="preserve">Post-dated cheque missing date</x:t>
        </x:is>
      </x:c>
      <x:c r="B16" s="17">
        <x:f>COUNTIFS('Invoice Detail'!$E$4:$E$503,"POST DATED CHQ",'Invoice Detail'!$M$4:$M$503,"")</x:f>
        <x:v>0</x:v>
      </x:c>
    </x:row>
    <x:row r="17">
      <x:c r="A17" s="7" t="inlineStr">
        <x:is>
          <x:t xml:space="preserve">Online not allocated</x:t>
        </x:is>
      </x:c>
      <x:c r="B17" s="17">
        <x:f>COUNTIFS('Invoice Detail'!$E$4:$E$503,"ONLINE",'Invoice Detail'!$V$4:$V$503,FALSE)</x:f>
        <x:v>0</x:v>
      </x:c>
    </x:row>
    <x:row r="18">
      <x:c r="A18" s="7" t="inlineStr">
        <x:is>
          <x:t xml:space="preserve">PS365 receipt not synced</x:t>
        </x:is>
      </x:c>
      <x:c r="B18" s="17">
        <x:f>COUNTIFS('Invoice Detail'!$I$4:$I$503,TRUE,'Invoice Detail'!$U$4:$U$503,FALSE)</x:f>
        <x:v>0</x:v>
      </x:c>
    </x:row>
    <x:row r="19">
      <x:c r="A19" s="7" t="inlineStr">
        <x:is>
          <x:t xml:space="preserve">TOTAL exceptions flagged</x:t>
        </x:is>
      </x:c>
      <x:c r="B19" s="17">
        <x:f>COUNTIF('Invoice Detail'!$W$4:$W$503,TRUE)</x:f>
        <x:v>0</x:v>
      </x:c>
    </x:row>
    <x:row r="22" ht="20" customHeight="1">
      <x:c r="A22" s="6" t="inlineStr">
        <x:is>
          <x:t xml:space="preserve">Printable Exception Register (paste filtered rows here)</x:t>
        </x:is>
      </x:c>
    </x:row>
    <x:row r="23" ht="24" customHeight="1">
      <x:c r="A23" s="29" t="inlineStr">
        <x:is>
          <x:t xml:space="preserve">Stop Seq</x:t>
        </x:is>
      </x:c>
      <x:c r="B23" s="29" t="inlineStr">
        <x:is>
          <x:t xml:space="preserve">Invoice No</x:t>
        </x:is>
      </x:c>
      <x:c r="C23" s="29" t="inlineStr">
        <x:is>
          <x:t xml:space="preserve">Payment Type</x:t>
        </x:is>
      </x:c>
      <x:c r="D23" s="29" t="inlineStr">
        <x:is>
          <x:t xml:space="preserve">Expected €</x:t>
        </x:is>
      </x:c>
      <x:c r="E23" s="29" t="inlineStr">
        <x:is>
          <x:t xml:space="preserve">Received €</x:t>
        </x:is>
      </x:c>
      <x:c r="F23" s="29" t="inlineStr">
        <x:is>
          <x:t xml:space="preserve">POD Status</x:t>
        </x:is>
      </x:c>
      <x:c r="G23" s="29" t="inlineStr">
        <x:is>
          <x:t xml:space="preserve">Exception Flag</x:t>
        </x:is>
      </x:c>
      <x:c r="H23" s="29" t="inlineStr">
        <x:is>
          <x:t xml:space="preserve">Exception Notes</x:t>
        </x:is>
      </x:c>
    </x:row>
    <x:row r="24">
      <x:c r="A24" s="25" t="n"/>
      <x:c r="B24" s="25" t="n"/>
      <x:c r="C24" s="25" t="n"/>
      <x:c r="D24" s="24" t="n"/>
      <x:c r="E24" s="24" t="n"/>
      <x:c r="F24" s="25" t="n"/>
      <x:c r="G24" s="25" t="n"/>
      <x:c r="H24" s="25" t="n"/>
    </x:row>
    <x:row r="25">
      <x:c r="A25" s="25" t="n"/>
      <x:c r="B25" s="25" t="n"/>
      <x:c r="C25" s="25" t="n"/>
      <x:c r="D25" s="24" t="n"/>
      <x:c r="E25" s="24" t="n"/>
      <x:c r="F25" s="25" t="n"/>
      <x:c r="G25" s="25" t="n"/>
      <x:c r="H25" s="25" t="n"/>
    </x:row>
    <x:row r="26">
      <x:c r="A26" s="25" t="n"/>
      <x:c r="B26" s="25" t="n"/>
      <x:c r="C26" s="25" t="n"/>
      <x:c r="D26" s="24" t="n"/>
      <x:c r="E26" s="24" t="n"/>
      <x:c r="F26" s="25" t="n"/>
      <x:c r="G26" s="25" t="n"/>
      <x:c r="H26" s="25" t="n"/>
    </x:row>
    <x:row r="27">
      <x:c r="A27" s="25" t="n"/>
      <x:c r="B27" s="25" t="n"/>
      <x:c r="C27" s="25" t="n"/>
      <x:c r="D27" s="24" t="n"/>
      <x:c r="E27" s="24" t="n"/>
      <x:c r="F27" s="25" t="n"/>
      <x:c r="G27" s="25" t="n"/>
      <x:c r="H27" s="25" t="n"/>
    </x:row>
    <x:row r="28">
      <x:c r="A28" s="25" t="n"/>
      <x:c r="B28" s="25" t="n"/>
      <x:c r="C28" s="25" t="n"/>
      <x:c r="D28" s="24" t="n"/>
      <x:c r="E28" s="24" t="n"/>
      <x:c r="F28" s="25" t="n"/>
      <x:c r="G28" s="25" t="n"/>
      <x:c r="H28" s="25" t="n"/>
    </x:row>
    <x:row r="29">
      <x:c r="A29" s="25" t="n"/>
      <x:c r="B29" s="25" t="n"/>
      <x:c r="C29" s="25" t="n"/>
      <x:c r="D29" s="24" t="n"/>
      <x:c r="E29" s="24" t="n"/>
      <x:c r="F29" s="25" t="n"/>
      <x:c r="G29" s="25" t="n"/>
      <x:c r="H29" s="25" t="n"/>
    </x:row>
    <x:row r="30">
      <x:c r="A30" s="25" t="n"/>
      <x:c r="B30" s="25" t="n"/>
      <x:c r="C30" s="25" t="n"/>
      <x:c r="D30" s="24" t="n"/>
      <x:c r="E30" s="24" t="n"/>
      <x:c r="F30" s="25" t="n"/>
      <x:c r="G30" s="25" t="n"/>
      <x:c r="H30" s="25" t="n"/>
    </x:row>
    <x:row r="31">
      <x:c r="A31" s="25" t="n"/>
      <x:c r="B31" s="25" t="n"/>
      <x:c r="C31" s="25" t="n"/>
      <x:c r="D31" s="24" t="n"/>
      <x:c r="E31" s="24" t="n"/>
      <x:c r="F31" s="25" t="n"/>
      <x:c r="G31" s="25" t="n"/>
      <x:c r="H31" s="25" t="n"/>
    </x:row>
    <x:row r="32">
      <x:c r="A32" s="25" t="n"/>
      <x:c r="B32" s="25" t="n"/>
      <x:c r="C32" s="25" t="n"/>
      <x:c r="D32" s="24" t="n"/>
      <x:c r="E32" s="24" t="n"/>
      <x:c r="F32" s="25" t="n"/>
      <x:c r="G32" s="25" t="n"/>
      <x:c r="H32" s="25" t="n"/>
    </x:row>
    <x:row r="33">
      <x:c r="A33" s="25" t="n"/>
      <x:c r="B33" s="25" t="n"/>
      <x:c r="C33" s="25" t="n"/>
      <x:c r="D33" s="24" t="n"/>
      <x:c r="E33" s="24" t="n"/>
      <x:c r="F33" s="25" t="n"/>
      <x:c r="G33" s="25" t="n"/>
      <x:c r="H33" s="25" t="n"/>
    </x:row>
    <x:row r="34">
      <x:c r="A34" s="25" t="n"/>
      <x:c r="B34" s="25" t="n"/>
      <x:c r="C34" s="25" t="n"/>
      <x:c r="D34" s="24" t="n"/>
      <x:c r="E34" s="24" t="n"/>
      <x:c r="F34" s="25" t="n"/>
      <x:c r="G34" s="25" t="n"/>
      <x:c r="H34" s="25" t="n"/>
    </x:row>
    <x:row r="35">
      <x:c r="A35" s="25" t="n"/>
      <x:c r="B35" s="25" t="n"/>
      <x:c r="C35" s="25" t="n"/>
      <x:c r="D35" s="24" t="n"/>
      <x:c r="E35" s="24" t="n"/>
      <x:c r="F35" s="25" t="n"/>
      <x:c r="G35" s="25" t="n"/>
      <x:c r="H35" s="25" t="n"/>
    </x:row>
    <x:row r="36">
      <x:c r="A36" s="25" t="n"/>
      <x:c r="B36" s="25" t="n"/>
      <x:c r="C36" s="25" t="n"/>
      <x:c r="D36" s="24" t="n"/>
      <x:c r="E36" s="24" t="n"/>
      <x:c r="F36" s="25" t="n"/>
      <x:c r="G36" s="25" t="n"/>
      <x:c r="H36" s="25" t="n"/>
    </x:row>
    <x:row r="37">
      <x:c r="A37" s="25" t="n"/>
      <x:c r="B37" s="25" t="n"/>
      <x:c r="C37" s="25" t="n"/>
      <x:c r="D37" s="24" t="n"/>
      <x:c r="E37" s="24" t="n"/>
      <x:c r="F37" s="25" t="n"/>
      <x:c r="G37" s="25" t="n"/>
      <x:c r="H37" s="25" t="n"/>
    </x:row>
    <x:row r="38">
      <x:c r="A38" s="25" t="n"/>
      <x:c r="B38" s="25" t="n"/>
      <x:c r="C38" s="25" t="n"/>
      <x:c r="D38" s="24" t="n"/>
      <x:c r="E38" s="24" t="n"/>
      <x:c r="F38" s="25" t="n"/>
      <x:c r="G38" s="25" t="n"/>
      <x:c r="H38" s="25" t="n"/>
    </x:row>
    <x:row r="39">
      <x:c r="A39" s="25" t="n"/>
      <x:c r="B39" s="25" t="n"/>
      <x:c r="C39" s="25" t="n"/>
      <x:c r="D39" s="24" t="n"/>
      <x:c r="E39" s="24" t="n"/>
      <x:c r="F39" s="25" t="n"/>
      <x:c r="G39" s="25" t="n"/>
      <x:c r="H39" s="25" t="n"/>
    </x:row>
    <x:row r="40">
      <x:c r="A40" s="25" t="n"/>
      <x:c r="B40" s="25" t="n"/>
      <x:c r="C40" s="25" t="n"/>
      <x:c r="D40" s="24" t="n"/>
      <x:c r="E40" s="24" t="n"/>
      <x:c r="F40" s="25" t="n"/>
      <x:c r="G40" s="25" t="n"/>
      <x:c r="H40" s="25" t="n"/>
    </x:row>
    <x:row r="41">
      <x:c r="A41" s="25" t="n"/>
      <x:c r="B41" s="25" t="n"/>
      <x:c r="C41" s="25" t="n"/>
      <x:c r="D41" s="24" t="n"/>
      <x:c r="E41" s="24" t="n"/>
      <x:c r="F41" s="25" t="n"/>
      <x:c r="G41" s="25" t="n"/>
      <x:c r="H41" s="25" t="n"/>
    </x:row>
    <x:row r="42">
      <x:c r="A42" s="25" t="n"/>
      <x:c r="B42" s="25" t="n"/>
      <x:c r="C42" s="25" t="n"/>
      <x:c r="D42" s="24" t="n"/>
      <x:c r="E42" s="24" t="n"/>
      <x:c r="F42" s="25" t="n"/>
      <x:c r="G42" s="25" t="n"/>
      <x:c r="H42" s="25" t="n"/>
    </x:row>
    <x:row r="43">
      <x:c r="A43" s="25" t="n"/>
      <x:c r="B43" s="25" t="n"/>
      <x:c r="C43" s="25" t="n"/>
      <x:c r="D43" s="24" t="n"/>
      <x:c r="E43" s="24" t="n"/>
      <x:c r="F43" s="25" t="n"/>
      <x:c r="G43" s="25" t="n"/>
      <x:c r="H43" s="25" t="n"/>
    </x:row>
    <x:row r="44">
      <x:c r="A44" s="25" t="n"/>
      <x:c r="B44" s="25" t="n"/>
      <x:c r="C44" s="25" t="n"/>
      <x:c r="D44" s="24" t="n"/>
      <x:c r="E44" s="24" t="n"/>
      <x:c r="F44" s="25" t="n"/>
      <x:c r="G44" s="25" t="n"/>
      <x:c r="H44" s="25" t="n"/>
    </x:row>
    <x:row r="45">
      <x:c r="A45" s="25" t="n"/>
      <x:c r="B45" s="25" t="n"/>
      <x:c r="C45" s="25" t="n"/>
      <x:c r="D45" s="24" t="n"/>
      <x:c r="E45" s="24" t="n"/>
      <x:c r="F45" s="25" t="n"/>
      <x:c r="G45" s="25" t="n"/>
      <x:c r="H45" s="25" t="n"/>
    </x:row>
    <x:row r="46">
      <x:c r="A46" s="25" t="n"/>
      <x:c r="B46" s="25" t="n"/>
      <x:c r="C46" s="25" t="n"/>
      <x:c r="D46" s="24" t="n"/>
      <x:c r="E46" s="24" t="n"/>
      <x:c r="F46" s="25" t="n"/>
      <x:c r="G46" s="25" t="n"/>
      <x:c r="H46" s="25" t="n"/>
    </x:row>
    <x:row r="47">
      <x:c r="A47" s="25" t="n"/>
      <x:c r="B47" s="25" t="n"/>
      <x:c r="C47" s="25" t="n"/>
      <x:c r="D47" s="24" t="n"/>
      <x:c r="E47" s="24" t="n"/>
      <x:c r="F47" s="25" t="n"/>
      <x:c r="G47" s="25" t="n"/>
      <x:c r="H47" s="25" t="n"/>
    </x:row>
    <x:row r="48">
      <x:c r="A48" s="25" t="n"/>
      <x:c r="B48" s="25" t="n"/>
      <x:c r="C48" s="25" t="n"/>
      <x:c r="D48" s="24" t="n"/>
      <x:c r="E48" s="24" t="n"/>
      <x:c r="F48" s="25" t="n"/>
      <x:c r="G48" s="25" t="n"/>
      <x:c r="H48" s="25" t="n"/>
    </x:row>
    <x:row r="49">
      <x:c r="A49" s="25" t="n"/>
      <x:c r="B49" s="25" t="n"/>
      <x:c r="C49" s="25" t="n"/>
      <x:c r="D49" s="24" t="n"/>
      <x:c r="E49" s="24" t="n"/>
      <x:c r="F49" s="25" t="n"/>
      <x:c r="G49" s="25" t="n"/>
      <x:c r="H49" s="25" t="n"/>
    </x:row>
    <x:row r="50">
      <x:c r="A50" s="25" t="n"/>
      <x:c r="B50" s="25" t="n"/>
      <x:c r="C50" s="25" t="n"/>
      <x:c r="D50" s="24" t="n"/>
      <x:c r="E50" s="24" t="n"/>
      <x:c r="F50" s="25" t="n"/>
      <x:c r="G50" s="25" t="n"/>
      <x:c r="H50" s="25" t="n"/>
    </x:row>
    <x:row r="51">
      <x:c r="A51" s="25" t="n"/>
      <x:c r="B51" s="25" t="n"/>
      <x:c r="C51" s="25" t="n"/>
      <x:c r="D51" s="24" t="n"/>
      <x:c r="E51" s="24" t="n"/>
      <x:c r="F51" s="25" t="n"/>
      <x:c r="G51" s="25" t="n"/>
      <x:c r="H51" s="25" t="n"/>
    </x:row>
    <x:row r="52">
      <x:c r="A52" s="25" t="n"/>
      <x:c r="B52" s="25" t="n"/>
      <x:c r="C52" s="25" t="n"/>
      <x:c r="D52" s="24" t="n"/>
      <x:c r="E52" s="24" t="n"/>
      <x:c r="F52" s="25" t="n"/>
      <x:c r="G52" s="25" t="n"/>
      <x:c r="H52" s="25" t="n"/>
    </x:row>
    <x:row r="53">
      <x:c r="A53" s="25" t="n"/>
      <x:c r="B53" s="25" t="n"/>
      <x:c r="C53" s="25" t="n"/>
      <x:c r="D53" s="24" t="n"/>
      <x:c r="E53" s="24" t="n"/>
      <x:c r="F53" s="25" t="n"/>
      <x:c r="G53" s="25" t="n"/>
      <x:c r="H53" s="25" t="n"/>
    </x:row>
    <x:row r="54">
      <x:c r="A54" s="25" t="n"/>
      <x:c r="B54" s="25" t="n"/>
      <x:c r="C54" s="25" t="n"/>
      <x:c r="D54" s="24" t="n"/>
      <x:c r="E54" s="24" t="n"/>
      <x:c r="F54" s="25" t="n"/>
      <x:c r="G54" s="25" t="n"/>
      <x:c r="H54" s="25" t="n"/>
    </x:row>
    <x:row r="55">
      <x:c r="A55" s="25" t="n"/>
      <x:c r="B55" s="25" t="n"/>
      <x:c r="C55" s="25" t="n"/>
      <x:c r="D55" s="24" t="n"/>
      <x:c r="E55" s="24" t="n"/>
      <x:c r="F55" s="25" t="n"/>
      <x:c r="G55" s="25" t="n"/>
      <x:c r="H55" s="25" t="n"/>
    </x:row>
    <x:row r="56">
      <x:c r="A56" s="25" t="n"/>
      <x:c r="B56" s="25" t="n"/>
      <x:c r="C56" s="25" t="n"/>
      <x:c r="D56" s="24" t="n"/>
      <x:c r="E56" s="24" t="n"/>
      <x:c r="F56" s="25" t="n"/>
      <x:c r="G56" s="25" t="n"/>
      <x:c r="H56" s="25" t="n"/>
    </x:row>
    <x:row r="57">
      <x:c r="A57" s="25" t="n"/>
      <x:c r="B57" s="25" t="n"/>
      <x:c r="C57" s="25" t="n"/>
      <x:c r="D57" s="24" t="n"/>
      <x:c r="E57" s="24" t="n"/>
      <x:c r="F57" s="25" t="n"/>
      <x:c r="G57" s="25" t="n"/>
      <x:c r="H57" s="25" t="n"/>
    </x:row>
    <x:row r="58">
      <x:c r="A58" s="25" t="n"/>
      <x:c r="B58" s="25" t="n"/>
      <x:c r="C58" s="25" t="n"/>
      <x:c r="D58" s="24" t="n"/>
      <x:c r="E58" s="24" t="n"/>
      <x:c r="F58" s="25" t="n"/>
      <x:c r="G58" s="25" t="n"/>
      <x:c r="H58" s="25" t="n"/>
    </x:row>
    <x:row r="59">
      <x:c r="A59" s="25" t="n"/>
      <x:c r="B59" s="25" t="n"/>
      <x:c r="C59" s="25" t="n"/>
      <x:c r="D59" s="24" t="n"/>
      <x:c r="E59" s="24" t="n"/>
      <x:c r="F59" s="25" t="n"/>
      <x:c r="G59" s="25" t="n"/>
      <x:c r="H59" s="25" t="n"/>
    </x:row>
    <x:row r="60">
      <x:c r="A60" s="25" t="n"/>
      <x:c r="B60" s="25" t="n"/>
      <x:c r="C60" s="25" t="n"/>
      <x:c r="D60" s="24" t="n"/>
      <x:c r="E60" s="24" t="n"/>
      <x:c r="F60" s="25" t="n"/>
      <x:c r="G60" s="25" t="n"/>
      <x:c r="H60" s="25" t="n"/>
    </x:row>
    <x:row r="61">
      <x:c r="A61" s="25" t="n"/>
      <x:c r="B61" s="25" t="n"/>
      <x:c r="C61" s="25" t="n"/>
      <x:c r="D61" s="24" t="n"/>
      <x:c r="E61" s="24" t="n"/>
      <x:c r="F61" s="25" t="n"/>
      <x:c r="G61" s="25" t="n"/>
      <x:c r="H61" s="25" t="n"/>
    </x:row>
    <x:row r="62">
      <x:c r="A62" s="25" t="n"/>
      <x:c r="B62" s="25" t="n"/>
      <x:c r="C62" s="25" t="n"/>
      <x:c r="D62" s="24" t="n"/>
      <x:c r="E62" s="24" t="n"/>
      <x:c r="F62" s="25" t="n"/>
      <x:c r="G62" s="25" t="n"/>
      <x:c r="H62" s="25" t="n"/>
    </x:row>
    <x:row r="63">
      <x:c r="A63" s="25" t="n"/>
      <x:c r="B63" s="25" t="n"/>
      <x:c r="C63" s="25" t="n"/>
      <x:c r="D63" s="24" t="n"/>
      <x:c r="E63" s="24" t="n"/>
      <x:c r="F63" s="25" t="n"/>
      <x:c r="G63" s="25" t="n"/>
      <x:c r="H63" s="25" t="n"/>
    </x:row>
    <x:row r="64">
      <x:c r="A64" s="25" t="n"/>
      <x:c r="B64" s="25" t="n"/>
      <x:c r="C64" s="25" t="n"/>
      <x:c r="D64" s="24" t="n"/>
      <x:c r="E64" s="24" t="n"/>
      <x:c r="F64" s="25" t="n"/>
      <x:c r="G64" s="25" t="n"/>
      <x:c r="H64" s="25" t="n"/>
    </x:row>
    <x:row r="65">
      <x:c r="A65" s="25" t="n"/>
      <x:c r="B65" s="25" t="n"/>
      <x:c r="C65" s="25" t="n"/>
      <x:c r="D65" s="24" t="n"/>
      <x:c r="E65" s="24" t="n"/>
      <x:c r="F65" s="25" t="n"/>
      <x:c r="G65" s="25" t="n"/>
      <x:c r="H65" s="25" t="n"/>
    </x:row>
    <x:row r="66">
      <x:c r="A66" s="25" t="n"/>
      <x:c r="B66" s="25" t="n"/>
      <x:c r="C66" s="25" t="n"/>
      <x:c r="D66" s="24" t="n"/>
      <x:c r="E66" s="24" t="n"/>
      <x:c r="F66" s="25" t="n"/>
      <x:c r="G66" s="25" t="n"/>
      <x:c r="H66" s="25" t="n"/>
    </x:row>
    <x:row r="67">
      <x:c r="A67" s="25" t="n"/>
      <x:c r="B67" s="25" t="n"/>
      <x:c r="C67" s="25" t="n"/>
      <x:c r="D67" s="24" t="n"/>
      <x:c r="E67" s="24" t="n"/>
      <x:c r="F67" s="25" t="n"/>
      <x:c r="G67" s="25" t="n"/>
      <x:c r="H67" s="25" t="n"/>
    </x:row>
    <x:row r="68">
      <x:c r="A68" s="25" t="n"/>
      <x:c r="B68" s="25" t="n"/>
      <x:c r="C68" s="25" t="n"/>
      <x:c r="D68" s="24" t="n"/>
      <x:c r="E68" s="24" t="n"/>
      <x:c r="F68" s="25" t="n"/>
      <x:c r="G68" s="25" t="n"/>
      <x:c r="H68" s="25" t="n"/>
    </x:row>
    <x:row r="69">
      <x:c r="A69" s="25" t="n"/>
      <x:c r="B69" s="25" t="n"/>
      <x:c r="C69" s="25" t="n"/>
      <x:c r="D69" s="24" t="n"/>
      <x:c r="E69" s="24" t="n"/>
      <x:c r="F69" s="25" t="n"/>
      <x:c r="G69" s="25" t="n"/>
      <x:c r="H69" s="25" t="n"/>
    </x:row>
    <x:row r="70">
      <x:c r="A70" s="25" t="n"/>
      <x:c r="B70" s="25" t="n"/>
      <x:c r="C70" s="25" t="n"/>
      <x:c r="D70" s="24" t="n"/>
      <x:c r="E70" s="24" t="n"/>
      <x:c r="F70" s="25" t="n"/>
      <x:c r="G70" s="25" t="n"/>
      <x:c r="H70" s="25" t="n"/>
    </x:row>
    <x:row r="71">
      <x:c r="A71" s="25" t="n"/>
      <x:c r="B71" s="25" t="n"/>
      <x:c r="C71" s="25" t="n"/>
      <x:c r="D71" s="24" t="n"/>
      <x:c r="E71" s="24" t="n"/>
      <x:c r="F71" s="25" t="n"/>
      <x:c r="G71" s="25" t="n"/>
      <x:c r="H71" s="25" t="n"/>
    </x:row>
    <x:row r="72">
      <x:c r="A72" s="25" t="n"/>
      <x:c r="B72" s="25" t="n"/>
      <x:c r="C72" s="25" t="n"/>
      <x:c r="D72" s="24" t="n"/>
      <x:c r="E72" s="24" t="n"/>
      <x:c r="F72" s="25" t="n"/>
      <x:c r="G72" s="25" t="n"/>
      <x:c r="H72" s="25" t="n"/>
    </x:row>
    <x:row r="73">
      <x:c r="A73" s="25" t="n"/>
      <x:c r="B73" s="25" t="n"/>
      <x:c r="C73" s="25" t="n"/>
      <x:c r="D73" s="24" t="n"/>
      <x:c r="E73" s="24" t="n"/>
      <x:c r="F73" s="25" t="n"/>
      <x:c r="G73" s="25" t="n"/>
      <x:c r="H73" s="25" t="n"/>
    </x:row>
    <x:row r="74">
      <x:c r="A74" s="25" t="n"/>
      <x:c r="B74" s="25" t="n"/>
      <x:c r="C74" s="25" t="n"/>
      <x:c r="D74" s="24" t="n"/>
      <x:c r="E74" s="24" t="n"/>
      <x:c r="F74" s="25" t="n"/>
      <x:c r="G74" s="25" t="n"/>
      <x:c r="H74" s="25" t="n"/>
    </x:row>
    <x:row r="75">
      <x:c r="A75" s="25" t="n"/>
      <x:c r="B75" s="25" t="n"/>
      <x:c r="C75" s="25" t="n"/>
      <x:c r="D75" s="24" t="n"/>
      <x:c r="E75" s="24" t="n"/>
      <x:c r="F75" s="25" t="n"/>
      <x:c r="G75" s="25" t="n"/>
      <x:c r="H75" s="25" t="n"/>
    </x:row>
    <x:row r="76">
      <x:c r="A76" s="25" t="n"/>
      <x:c r="B76" s="25" t="n"/>
      <x:c r="C76" s="25" t="n"/>
      <x:c r="D76" s="24" t="n"/>
      <x:c r="E76" s="24" t="n"/>
      <x:c r="F76" s="25" t="n"/>
      <x:c r="G76" s="25" t="n"/>
      <x:c r="H76" s="25" t="n"/>
    </x:row>
    <x:row r="77">
      <x:c r="A77" s="25" t="n"/>
      <x:c r="B77" s="25" t="n"/>
      <x:c r="C77" s="25" t="n"/>
      <x:c r="D77" s="24" t="n"/>
      <x:c r="E77" s="24" t="n"/>
      <x:c r="F77" s="25" t="n"/>
      <x:c r="G77" s="25" t="n"/>
      <x:c r="H77" s="25" t="n"/>
    </x:row>
    <x:row r="78">
      <x:c r="A78" s="25" t="n"/>
      <x:c r="B78" s="25" t="n"/>
      <x:c r="C78" s="25" t="n"/>
      <x:c r="D78" s="24" t="n"/>
      <x:c r="E78" s="24" t="n"/>
      <x:c r="F78" s="25" t="n"/>
      <x:c r="G78" s="25" t="n"/>
      <x:c r="H78" s="25" t="n"/>
    </x:row>
    <x:row r="79">
      <x:c r="A79" s="25" t="n"/>
      <x:c r="B79" s="25" t="n"/>
      <x:c r="C79" s="25" t="n"/>
      <x:c r="D79" s="24" t="n"/>
      <x:c r="E79" s="24" t="n"/>
      <x:c r="F79" s="25" t="n"/>
      <x:c r="G79" s="25" t="n"/>
      <x:c r="H79" s="25" t="n"/>
    </x:row>
    <x:row r="80">
      <x:c r="A80" s="25" t="n"/>
      <x:c r="B80" s="25" t="n"/>
      <x:c r="C80" s="25" t="n"/>
      <x:c r="D80" s="24" t="n"/>
      <x:c r="E80" s="24" t="n"/>
      <x:c r="F80" s="25" t="n"/>
      <x:c r="G80" s="25" t="n"/>
      <x:c r="H80" s="25" t="n"/>
    </x:row>
    <x:row r="81">
      <x:c r="A81" s="25" t="n"/>
      <x:c r="B81" s="25" t="n"/>
      <x:c r="C81" s="25" t="n"/>
      <x:c r="D81" s="24" t="n"/>
      <x:c r="E81" s="24" t="n"/>
      <x:c r="F81" s="25" t="n"/>
      <x:c r="G81" s="25" t="n"/>
      <x:c r="H81" s="25" t="n"/>
    </x:row>
    <x:row r="82">
      <x:c r="A82" s="25" t="n"/>
      <x:c r="B82" s="25" t="n"/>
      <x:c r="C82" s="25" t="n"/>
      <x:c r="D82" s="24" t="n"/>
      <x:c r="E82" s="24" t="n"/>
      <x:c r="F82" s="25" t="n"/>
      <x:c r="G82" s="25" t="n"/>
      <x:c r="H82" s="25" t="n"/>
    </x:row>
    <x:row r="83">
      <x:c r="A83" s="25" t="n"/>
      <x:c r="B83" s="25" t="n"/>
      <x:c r="C83" s="25" t="n"/>
      <x:c r="D83" s="24" t="n"/>
      <x:c r="E83" s="24" t="n"/>
      <x:c r="F83" s="25" t="n"/>
      <x:c r="G83" s="25" t="n"/>
      <x:c r="H83" s="25" t="n"/>
    </x:row>
    <x:row r="84">
      <x:c r="A84" s="25" t="n"/>
      <x:c r="B84" s="25" t="n"/>
      <x:c r="C84" s="25" t="n"/>
      <x:c r="D84" s="24" t="n"/>
      <x:c r="E84" s="24" t="n"/>
      <x:c r="F84" s="25" t="n"/>
      <x:c r="G84" s="25" t="n"/>
      <x:c r="H84" s="25" t="n"/>
    </x:row>
    <x:row r="85">
      <x:c r="A85" s="25" t="n"/>
      <x:c r="B85" s="25" t="n"/>
      <x:c r="C85" s="25" t="n"/>
      <x:c r="D85" s="24" t="n"/>
      <x:c r="E85" s="24" t="n"/>
      <x:c r="F85" s="25" t="n"/>
      <x:c r="G85" s="25" t="n"/>
      <x:c r="H85" s="25" t="n"/>
    </x:row>
    <x:row r="86">
      <x:c r="A86" s="25" t="n"/>
      <x:c r="B86" s="25" t="n"/>
      <x:c r="C86" s="25" t="n"/>
      <x:c r="D86" s="24" t="n"/>
      <x:c r="E86" s="24" t="n"/>
      <x:c r="F86" s="25" t="n"/>
      <x:c r="G86" s="25" t="n"/>
      <x:c r="H86" s="25" t="n"/>
    </x:row>
    <x:row r="87">
      <x:c r="A87" s="25" t="n"/>
      <x:c r="B87" s="25" t="n"/>
      <x:c r="C87" s="25" t="n"/>
      <x:c r="D87" s="24" t="n"/>
      <x:c r="E87" s="24" t="n"/>
      <x:c r="F87" s="25" t="n"/>
      <x:c r="G87" s="25" t="n"/>
      <x:c r="H87" s="25" t="n"/>
    </x:row>
    <x:row r="88">
      <x:c r="A88" s="25" t="n"/>
      <x:c r="B88" s="25" t="n"/>
      <x:c r="C88" s="25" t="n"/>
      <x:c r="D88" s="24" t="n"/>
      <x:c r="E88" s="24" t="n"/>
      <x:c r="F88" s="25" t="n"/>
      <x:c r="G88" s="25" t="n"/>
      <x:c r="H88" s="25" t="n"/>
    </x:row>
    <x:row r="89">
      <x:c r="A89" s="25" t="n"/>
      <x:c r="B89" s="25" t="n"/>
      <x:c r="C89" s="25" t="n"/>
      <x:c r="D89" s="24" t="n"/>
      <x:c r="E89" s="24" t="n"/>
      <x:c r="F89" s="25" t="n"/>
      <x:c r="G89" s="25" t="n"/>
      <x:c r="H89" s="25" t="n"/>
    </x:row>
    <x:row r="90">
      <x:c r="A90" s="25" t="n"/>
      <x:c r="B90" s="25" t="n"/>
      <x:c r="C90" s="25" t="n"/>
      <x:c r="D90" s="24" t="n"/>
      <x:c r="E90" s="24" t="n"/>
      <x:c r="F90" s="25" t="n"/>
      <x:c r="G90" s="25" t="n"/>
      <x:c r="H90" s="25" t="n"/>
    </x:row>
    <x:row r="91">
      <x:c r="A91" s="25" t="n"/>
      <x:c r="B91" s="25" t="n"/>
      <x:c r="C91" s="25" t="n"/>
      <x:c r="D91" s="24" t="n"/>
      <x:c r="E91" s="24" t="n"/>
      <x:c r="F91" s="25" t="n"/>
      <x:c r="G91" s="25" t="n"/>
      <x:c r="H91" s="25" t="n"/>
    </x:row>
    <x:row r="92">
      <x:c r="A92" s="25" t="n"/>
      <x:c r="B92" s="25" t="n"/>
      <x:c r="C92" s="25" t="n"/>
      <x:c r="D92" s="24" t="n"/>
      <x:c r="E92" s="24" t="n"/>
      <x:c r="F92" s="25" t="n"/>
      <x:c r="G92" s="25" t="n"/>
      <x:c r="H92" s="25" t="n"/>
    </x:row>
    <x:row r="93">
      <x:c r="A93" s="25" t="n"/>
      <x:c r="B93" s="25" t="n"/>
      <x:c r="C93" s="25" t="n"/>
      <x:c r="D93" s="24" t="n"/>
      <x:c r="E93" s="24" t="n"/>
      <x:c r="F93" s="25" t="n"/>
      <x:c r="G93" s="25" t="n"/>
      <x:c r="H93" s="25" t="n"/>
    </x:row>
    <x:row r="94">
      <x:c r="A94" s="25" t="n"/>
      <x:c r="B94" s="25" t="n"/>
      <x:c r="C94" s="25" t="n"/>
      <x:c r="D94" s="24" t="n"/>
      <x:c r="E94" s="24" t="n"/>
      <x:c r="F94" s="25" t="n"/>
      <x:c r="G94" s="25" t="n"/>
      <x:c r="H94" s="25" t="n"/>
    </x:row>
    <x:row r="95">
      <x:c r="A95" s="25" t="n"/>
      <x:c r="B95" s="25" t="n"/>
      <x:c r="C95" s="25" t="n"/>
      <x:c r="D95" s="24" t="n"/>
      <x:c r="E95" s="24" t="n"/>
      <x:c r="F95" s="25" t="n"/>
      <x:c r="G95" s="25" t="n"/>
      <x:c r="H95" s="25" t="n"/>
    </x:row>
    <x:row r="96">
      <x:c r="A96" s="25" t="n"/>
      <x:c r="B96" s="25" t="n"/>
      <x:c r="C96" s="25" t="n"/>
      <x:c r="D96" s="24" t="n"/>
      <x:c r="E96" s="24" t="n"/>
      <x:c r="F96" s="25" t="n"/>
      <x:c r="G96" s="25" t="n"/>
      <x:c r="H96" s="25" t="n"/>
    </x:row>
    <x:row r="97">
      <x:c r="A97" s="25" t="n"/>
      <x:c r="B97" s="25" t="n"/>
      <x:c r="C97" s="25" t="n"/>
      <x:c r="D97" s="24" t="n"/>
      <x:c r="E97" s="24" t="n"/>
      <x:c r="F97" s="25" t="n"/>
      <x:c r="G97" s="25" t="n"/>
      <x:c r="H97" s="25" t="n"/>
    </x:row>
    <x:row r="98">
      <x:c r="A98" s="25" t="n"/>
      <x:c r="B98" s="25" t="n"/>
      <x:c r="C98" s="25" t="n"/>
      <x:c r="D98" s="24" t="n"/>
      <x:c r="E98" s="24" t="n"/>
      <x:c r="F98" s="25" t="n"/>
      <x:c r="G98" s="25" t="n"/>
      <x:c r="H98" s="25" t="n"/>
    </x:row>
    <x:row r="99">
      <x:c r="A99" s="25" t="n"/>
      <x:c r="B99" s="25" t="n"/>
      <x:c r="C99" s="25" t="n"/>
      <x:c r="D99" s="24" t="n"/>
      <x:c r="E99" s="24" t="n"/>
      <x:c r="F99" s="25" t="n"/>
      <x:c r="G99" s="25" t="n"/>
      <x:c r="H99" s="25" t="n"/>
    </x:row>
    <x:row r="100">
      <x:c r="A100" s="25" t="n"/>
      <x:c r="B100" s="25" t="n"/>
      <x:c r="C100" s="25" t="n"/>
      <x:c r="D100" s="24" t="n"/>
      <x:c r="E100" s="24" t="n"/>
      <x:c r="F100" s="25" t="n"/>
      <x:c r="G100" s="25" t="n"/>
      <x:c r="H100" s="25" t="n"/>
    </x:row>
    <x:row r="101">
      <x:c r="A101" s="25" t="n"/>
      <x:c r="B101" s="25" t="n"/>
      <x:c r="C101" s="25" t="n"/>
      <x:c r="D101" s="24" t="n"/>
      <x:c r="E101" s="24" t="n"/>
      <x:c r="F101" s="25" t="n"/>
      <x:c r="G101" s="25" t="n"/>
      <x:c r="H101" s="25" t="n"/>
    </x:row>
    <x:row r="102">
      <x:c r="A102" s="25" t="n"/>
      <x:c r="B102" s="25" t="n"/>
      <x:c r="C102" s="25" t="n"/>
      <x:c r="D102" s="24" t="n"/>
      <x:c r="E102" s="24" t="n"/>
      <x:c r="F102" s="25" t="n"/>
      <x:c r="G102" s="25" t="n"/>
      <x:c r="H102" s="25" t="n"/>
    </x:row>
    <x:row r="103">
      <x:c r="A103" s="25" t="n"/>
      <x:c r="B103" s="25" t="n"/>
      <x:c r="C103" s="25" t="n"/>
      <x:c r="D103" s="24" t="n"/>
      <x:c r="E103" s="24" t="n"/>
      <x:c r="F103" s="25" t="n"/>
      <x:c r="G103" s="25" t="n"/>
      <x:c r="H103" s="25" t="n"/>
    </x:row>
    <x:row r="104">
      <x:c r="A104" s="25" t="n"/>
      <x:c r="B104" s="25" t="n"/>
      <x:c r="C104" s="25" t="n"/>
      <x:c r="D104" s="24" t="n"/>
      <x:c r="E104" s="24" t="n"/>
      <x:c r="F104" s="25" t="n"/>
      <x:c r="G104" s="25" t="n"/>
      <x:c r="H104" s="25" t="n"/>
    </x:row>
    <x:row r="105">
      <x:c r="A105" s="25" t="n"/>
      <x:c r="B105" s="25" t="n"/>
      <x:c r="C105" s="25" t="n"/>
      <x:c r="D105" s="24" t="n"/>
      <x:c r="E105" s="24" t="n"/>
      <x:c r="F105" s="25" t="n"/>
      <x:c r="G105" s="25" t="n"/>
      <x:c r="H105" s="25" t="n"/>
    </x:row>
    <x:row r="106">
      <x:c r="A106" s="25" t="n"/>
      <x:c r="B106" s="25" t="n"/>
      <x:c r="C106" s="25" t="n"/>
      <x:c r="D106" s="24" t="n"/>
      <x:c r="E106" s="24" t="n"/>
      <x:c r="F106" s="25" t="n"/>
      <x:c r="G106" s="25" t="n"/>
      <x:c r="H106" s="25" t="n"/>
    </x:row>
    <x:row r="107">
      <x:c r="A107" s="25" t="n"/>
      <x:c r="B107" s="25" t="n"/>
      <x:c r="C107" s="25" t="n"/>
      <x:c r="D107" s="24" t="n"/>
      <x:c r="E107" s="24" t="n"/>
      <x:c r="F107" s="25" t="n"/>
      <x:c r="G107" s="25" t="n"/>
      <x:c r="H107" s="25" t="n"/>
    </x:row>
    <x:row r="108">
      <x:c r="A108" s="25" t="n"/>
      <x:c r="B108" s="25" t="n"/>
      <x:c r="C108" s="25" t="n"/>
      <x:c r="D108" s="24" t="n"/>
      <x:c r="E108" s="24" t="n"/>
      <x:c r="F108" s="25" t="n"/>
      <x:c r="G108" s="25" t="n"/>
      <x:c r="H108" s="25" t="n"/>
    </x:row>
    <x:row r="109">
      <x:c r="A109" s="25" t="n"/>
      <x:c r="B109" s="25" t="n"/>
      <x:c r="C109" s="25" t="n"/>
      <x:c r="D109" s="24" t="n"/>
      <x:c r="E109" s="24" t="n"/>
      <x:c r="F109" s="25" t="n"/>
      <x:c r="G109" s="25" t="n"/>
      <x:c r="H109" s="25" t="n"/>
    </x:row>
    <x:row r="110">
      <x:c r="A110" s="25" t="n"/>
      <x:c r="B110" s="25" t="n"/>
      <x:c r="C110" s="25" t="n"/>
      <x:c r="D110" s="24" t="n"/>
      <x:c r="E110" s="24" t="n"/>
      <x:c r="F110" s="25" t="n"/>
      <x:c r="G110" s="25" t="n"/>
      <x:c r="H110" s="25" t="n"/>
    </x:row>
    <x:row r="111">
      <x:c r="A111" s="25" t="n"/>
      <x:c r="B111" s="25" t="n"/>
      <x:c r="C111" s="25" t="n"/>
      <x:c r="D111" s="24" t="n"/>
      <x:c r="E111" s="24" t="n"/>
      <x:c r="F111" s="25" t="n"/>
      <x:c r="G111" s="25" t="n"/>
      <x:c r="H111" s="25" t="n"/>
    </x:row>
    <x:row r="112">
      <x:c r="A112" s="25" t="n"/>
      <x:c r="B112" s="25" t="n"/>
      <x:c r="C112" s="25" t="n"/>
      <x:c r="D112" s="24" t="n"/>
      <x:c r="E112" s="24" t="n"/>
      <x:c r="F112" s="25" t="n"/>
      <x:c r="G112" s="25" t="n"/>
      <x:c r="H112" s="25" t="n"/>
    </x:row>
    <x:row r="113">
      <x:c r="A113" s="25" t="n"/>
      <x:c r="B113" s="25" t="n"/>
      <x:c r="C113" s="25" t="n"/>
      <x:c r="D113" s="24" t="n"/>
      <x:c r="E113" s="24" t="n"/>
      <x:c r="F113" s="25" t="n"/>
      <x:c r="G113" s="25" t="n"/>
      <x:c r="H113" s="25" t="n"/>
    </x:row>
    <x:row r="114">
      <x:c r="A114" s="25" t="n"/>
      <x:c r="B114" s="25" t="n"/>
      <x:c r="C114" s="25" t="n"/>
      <x:c r="D114" s="24" t="n"/>
      <x:c r="E114" s="24" t="n"/>
      <x:c r="F114" s="25" t="n"/>
      <x:c r="G114" s="25" t="n"/>
      <x:c r="H114" s="25" t="n"/>
    </x:row>
    <x:row r="115">
      <x:c r="A115" s="25" t="n"/>
      <x:c r="B115" s="25" t="n"/>
      <x:c r="C115" s="25" t="n"/>
      <x:c r="D115" s="24" t="n"/>
      <x:c r="E115" s="24" t="n"/>
      <x:c r="F115" s="25" t="n"/>
      <x:c r="G115" s="25" t="n"/>
      <x:c r="H115" s="25" t="n"/>
    </x:row>
    <x:row r="116">
      <x:c r="A116" s="25" t="n"/>
      <x:c r="B116" s="25" t="n"/>
      <x:c r="C116" s="25" t="n"/>
      <x:c r="D116" s="24" t="n"/>
      <x:c r="E116" s="24" t="n"/>
      <x:c r="F116" s="25" t="n"/>
      <x:c r="G116" s="25" t="n"/>
      <x:c r="H116" s="25" t="n"/>
    </x:row>
    <x:row r="117">
      <x:c r="A117" s="25" t="n"/>
      <x:c r="B117" s="25" t="n"/>
      <x:c r="C117" s="25" t="n"/>
      <x:c r="D117" s="24" t="n"/>
      <x:c r="E117" s="24" t="n"/>
      <x:c r="F117" s="25" t="n"/>
      <x:c r="G117" s="25" t="n"/>
      <x:c r="H117" s="25" t="n"/>
    </x:row>
    <x:row r="118">
      <x:c r="A118" s="25" t="n"/>
      <x:c r="B118" s="25" t="n"/>
      <x:c r="C118" s="25" t="n"/>
      <x:c r="D118" s="24" t="n"/>
      <x:c r="E118" s="24" t="n"/>
      <x:c r="F118" s="25" t="n"/>
      <x:c r="G118" s="25" t="n"/>
      <x:c r="H118" s="25" t="n"/>
    </x:row>
    <x:row r="119">
      <x:c r="A119" s="25" t="n"/>
      <x:c r="B119" s="25" t="n"/>
      <x:c r="C119" s="25" t="n"/>
      <x:c r="D119" s="24" t="n"/>
      <x:c r="E119" s="24" t="n"/>
      <x:c r="F119" s="25" t="n"/>
      <x:c r="G119" s="25" t="n"/>
      <x:c r="H119" s="25" t="n"/>
    </x:row>
    <x:row r="120">
      <x:c r="A120" s="25" t="n"/>
      <x:c r="B120" s="25" t="n"/>
      <x:c r="C120" s="25" t="n"/>
      <x:c r="D120" s="24" t="n"/>
      <x:c r="E120" s="24" t="n"/>
      <x:c r="F120" s="25" t="n"/>
      <x:c r="G120" s="25" t="n"/>
      <x:c r="H120" s="25" t="n"/>
    </x:row>
    <x:row r="121">
      <x:c r="A121" s="25" t="n"/>
      <x:c r="B121" s="25" t="n"/>
      <x:c r="C121" s="25" t="n"/>
      <x:c r="D121" s="24" t="n"/>
      <x:c r="E121" s="24" t="n"/>
      <x:c r="F121" s="25" t="n"/>
      <x:c r="G121" s="25" t="n"/>
      <x:c r="H121" s="25" t="n"/>
    </x:row>
    <x:row r="122">
      <x:c r="A122" s="25" t="n"/>
      <x:c r="B122" s="25" t="n"/>
      <x:c r="C122" s="25" t="n"/>
      <x:c r="D122" s="24" t="n"/>
      <x:c r="E122" s="24" t="n"/>
      <x:c r="F122" s="25" t="n"/>
      <x:c r="G122" s="25" t="n"/>
      <x:c r="H122" s="25" t="n"/>
    </x:row>
    <x:row r="123">
      <x:c r="A123" s="25" t="n"/>
      <x:c r="B123" s="25" t="n"/>
      <x:c r="C123" s="25" t="n"/>
      <x:c r="D123" s="24" t="n"/>
      <x:c r="E123" s="24" t="n"/>
      <x:c r="F123" s="25" t="n"/>
      <x:c r="G123" s="25" t="n"/>
      <x:c r="H123" s="25" t="n"/>
    </x:row>
  </x:sheetData>
  <x:mergeCells>
    <x:mergeCell ref="A1:H1"/>
    <x:mergeCell ref="A4:H4"/>
    <x:mergeCell ref="A3:H3"/>
    <x:mergeCell ref="C9:H19"/>
    <x:mergeCell ref="A5:H5"/>
    <x:mergeCell ref="A8:H8"/>
    <x:mergeCell ref="A6:H6"/>
    <x:mergeCell ref="A22:H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22" customWidth="1"/>
    <x:col min="3" max="3" width="14" customWidth="1"/>
    <x:col min="4" max="4" width="14" customWidth="1"/>
    <x:col min="5" max="5" width="12" customWidth="1"/>
    <x:col min="6" max="6" width="12" customWidth="1"/>
    <x:col min="7" max="7" width="14" customWidth="1"/>
    <x:col min="8" max="8" width="10" customWidth="1"/>
    <x:col min="9" max="9" width="8" customWidth="1"/>
    <x:col min="10" max="10" width="18" customWidth="1"/>
    <x:col min="11" max="11" width="12" customWidth="1"/>
    <x:col min="12" max="12" width="12" customWidth="1"/>
    <x:col min="13" max="13" width="10" customWidth="1"/>
    <x:col min="14" max="14" width="22" customWidth="1"/>
  </x:cols>
  <x:sheetData>
    <x:row r="1" ht="28" customHeight="1">
      <x:c r="A1" s="1" t="inlineStr">
        <x:is>
          <x:t xml:space="preserve">Post-Dated Cheque Register (Control)</x:t>
        </x:is>
      </x:c>
    </x:row>
    <x:row r="3" ht="34" customHeight="1">
      <x:c r="A3" s="21" t="inlineStr">
        <x:is>
          <x:t xml:space="preserve">Cheque No</x:t>
        </x:is>
      </x:c>
      <x:c r="B3" s="21" t="inlineStr">
        <x:is>
          <x:t xml:space="preserve">Customer</x:t>
        </x:is>
      </x:c>
      <x:c r="C3" s="21" t="inlineStr">
        <x:is>
          <x:t xml:space="preserve">Customer Code</x:t>
        </x:is>
      </x:c>
      <x:c r="D3" s="21" t="inlineStr">
        <x:is>
          <x:t xml:space="preserve">Invoice No</x:t>
        </x:is>
      </x:c>
      <x:c r="E3" s="21" t="inlineStr">
        <x:is>
          <x:t xml:space="preserve">Amount €</x:t>
        </x:is>
      </x:c>
      <x:c r="F3" s="21" t="inlineStr">
        <x:is>
          <x:t xml:space="preserve">Due Date</x:t>
        </x:is>
      </x:c>
      <x:c r="G3" s="21" t="inlineStr">
        <x:is>
          <x:t xml:space="preserve">Bank</x:t>
        </x:is>
      </x:c>
      <x:c r="H3" s="21" t="inlineStr">
        <x:is>
          <x:t xml:space="preserve">Route ID</x:t>
        </x:is>
      </x:c>
      <x:c r="I3" s="21" t="inlineStr">
        <x:is>
          <x:t xml:space="preserve">Stop Seq</x:t>
        </x:is>
      </x:c>
      <x:c r="J3" s="21" t="inlineStr">
        <x:is>
          <x:t xml:space="preserve">Acknowledgement No</x:t>
        </x:is>
      </x:c>
      <x:c r="K3" s="21" t="inlineStr">
        <x:is>
          <x:t xml:space="preserve">Status</x:t>
        </x:is>
      </x:c>
      <x:c r="L3" s="21" t="inlineStr">
        <x:is>
          <x:t xml:space="preserve">Cleared Date</x:t>
        </x:is>
      </x:c>
      <x:c r="M3" s="21" t="inlineStr">
        <x:is>
          <x:t xml:space="preserve">Bounced?</x:t>
        </x:is>
      </x:c>
      <x:c r="N3" s="21" t="inlineStr">
        <x:is>
          <x:t xml:space="preserve">Notes</x:t>
        </x:is>
      </x:c>
    </x:row>
    <x:row r="4">
      <x:c r="A4" s="22" t="n"/>
      <x:c r="B4" s="22" t="n"/>
      <x:c r="C4" s="22" t="n"/>
      <x:c r="D4" s="22" t="n"/>
      <x:c r="E4" s="23" t="n"/>
      <x:c r="F4" s="22" t="n"/>
      <x:c r="G4" s="22" t="n"/>
      <x:c r="H4" s="22" t="n"/>
      <x:c r="I4" s="22" t="n"/>
      <x:c r="J4" s="22" t="n"/>
      <x:c r="K4" s="22" t="n"/>
      <x:c r="L4" s="22" t="n"/>
      <x:c r="M4" s="22" t="n"/>
      <x:c r="N4" s="22" t="n"/>
    </x:row>
    <x:row r="5">
      <x:c r="A5" s="22" t="n"/>
      <x:c r="B5" s="22" t="n"/>
      <x:c r="C5" s="22" t="n"/>
      <x:c r="D5" s="22" t="n"/>
      <x:c r="E5" s="23" t="n"/>
      <x:c r="F5" s="22" t="n"/>
      <x:c r="G5" s="22" t="n"/>
      <x:c r="H5" s="22" t="n"/>
      <x:c r="I5" s="22" t="n"/>
      <x:c r="J5" s="22" t="n"/>
      <x:c r="K5" s="22" t="n"/>
      <x:c r="L5" s="22" t="n"/>
      <x:c r="M5" s="22" t="n"/>
      <x:c r="N5" s="22" t="n"/>
    </x:row>
    <x:row r="6">
      <x:c r="A6" s="22" t="n"/>
      <x:c r="B6" s="22" t="n"/>
      <x:c r="C6" s="22" t="n"/>
      <x:c r="D6" s="22" t="n"/>
      <x:c r="E6" s="23" t="n"/>
      <x:c r="F6" s="22" t="n"/>
      <x:c r="G6" s="22" t="n"/>
      <x:c r="H6" s="22" t="n"/>
      <x:c r="I6" s="22" t="n"/>
      <x:c r="J6" s="22" t="n"/>
      <x:c r="K6" s="22" t="n"/>
      <x:c r="L6" s="22" t="n"/>
      <x:c r="M6" s="22" t="n"/>
      <x:c r="N6" s="22" t="n"/>
    </x:row>
    <x:row r="7">
      <x:c r="A7" s="22" t="n"/>
      <x:c r="B7" s="22" t="n"/>
      <x:c r="C7" s="22" t="n"/>
      <x:c r="D7" s="22" t="n"/>
      <x:c r="E7" s="23" t="n"/>
      <x:c r="F7" s="22" t="n"/>
      <x:c r="G7" s="22" t="n"/>
      <x:c r="H7" s="22" t="n"/>
      <x:c r="I7" s="22" t="n"/>
      <x:c r="J7" s="22" t="n"/>
      <x:c r="K7" s="22" t="n"/>
      <x:c r="L7" s="22" t="n"/>
      <x:c r="M7" s="22" t="n"/>
      <x:c r="N7" s="22" t="n"/>
    </x:row>
    <x:row r="8">
      <x:c r="A8" s="22" t="n"/>
      <x:c r="B8" s="22" t="n"/>
      <x:c r="C8" s="22" t="n"/>
      <x:c r="D8" s="22" t="n"/>
      <x:c r="E8" s="23" t="n"/>
      <x:c r="F8" s="22" t="n"/>
      <x:c r="G8" s="22" t="n"/>
      <x:c r="H8" s="22" t="n"/>
      <x:c r="I8" s="22" t="n"/>
      <x:c r="J8" s="22" t="n"/>
      <x:c r="K8" s="22" t="n"/>
      <x:c r="L8" s="22" t="n"/>
      <x:c r="M8" s="22" t="n"/>
      <x:c r="N8" s="22" t="n"/>
    </x:row>
    <x:row r="9">
      <x:c r="A9" s="22" t="n"/>
      <x:c r="B9" s="22" t="n"/>
      <x:c r="C9" s="22" t="n"/>
      <x:c r="D9" s="22" t="n"/>
      <x:c r="E9" s="23" t="n"/>
      <x:c r="F9" s="22" t="n"/>
      <x:c r="G9" s="22" t="n"/>
      <x:c r="H9" s="22" t="n"/>
      <x:c r="I9" s="22" t="n"/>
      <x:c r="J9" s="22" t="n"/>
      <x:c r="K9" s="22" t="n"/>
      <x:c r="L9" s="22" t="n"/>
      <x:c r="M9" s="22" t="n"/>
      <x:c r="N9" s="22" t="n"/>
    </x:row>
    <x:row r="10">
      <x:c r="A10" s="22" t="n"/>
      <x:c r="B10" s="22" t="n"/>
      <x:c r="C10" s="22" t="n"/>
      <x:c r="D10" s="22" t="n"/>
      <x:c r="E10" s="23" t="n"/>
      <x:c r="F10" s="22" t="n"/>
      <x:c r="G10" s="22" t="n"/>
      <x:c r="H10" s="22" t="n"/>
      <x:c r="I10" s="22" t="n"/>
      <x:c r="J10" s="22" t="n"/>
      <x:c r="K10" s="22" t="n"/>
      <x:c r="L10" s="22" t="n"/>
      <x:c r="M10" s="22" t="n"/>
      <x:c r="N10" s="22" t="n"/>
    </x:row>
    <x:row r="11">
      <x:c r="A11" s="22" t="n"/>
      <x:c r="B11" s="22" t="n"/>
      <x:c r="C11" s="22" t="n"/>
      <x:c r="D11" s="22" t="n"/>
      <x:c r="E11" s="23" t="n"/>
      <x:c r="F11" s="22" t="n"/>
      <x:c r="G11" s="22" t="n"/>
      <x:c r="H11" s="22" t="n"/>
      <x:c r="I11" s="22" t="n"/>
      <x:c r="J11" s="22" t="n"/>
      <x:c r="K11" s="22" t="n"/>
      <x:c r="L11" s="22" t="n"/>
      <x:c r="M11" s="22" t="n"/>
      <x:c r="N11" s="22" t="n"/>
    </x:row>
    <x:row r="12">
      <x:c r="A12" s="22" t="n"/>
      <x:c r="B12" s="22" t="n"/>
      <x:c r="C12" s="22" t="n"/>
      <x:c r="D12" s="22" t="n"/>
      <x:c r="E12" s="23" t="n"/>
      <x:c r="F12" s="22" t="n"/>
      <x:c r="G12" s="22" t="n"/>
      <x:c r="H12" s="22" t="n"/>
      <x:c r="I12" s="22" t="n"/>
      <x:c r="J12" s="22" t="n"/>
      <x:c r="K12" s="22" t="n"/>
      <x:c r="L12" s="22" t="n"/>
      <x:c r="M12" s="22" t="n"/>
      <x:c r="N12" s="22" t="n"/>
    </x:row>
    <x:row r="13">
      <x:c r="A13" s="22" t="n"/>
      <x:c r="B13" s="22" t="n"/>
      <x:c r="C13" s="22" t="n"/>
      <x:c r="D13" s="22" t="n"/>
      <x:c r="E13" s="23" t="n"/>
      <x:c r="F13" s="22" t="n"/>
      <x:c r="G13" s="22" t="n"/>
      <x:c r="H13" s="22" t="n"/>
      <x:c r="I13" s="22" t="n"/>
      <x:c r="J13" s="22" t="n"/>
      <x:c r="K13" s="22" t="n"/>
      <x:c r="L13" s="22" t="n"/>
      <x:c r="M13" s="22" t="n"/>
      <x:c r="N13" s="22" t="n"/>
    </x:row>
    <x:row r="14">
      <x:c r="A14" s="22" t="n"/>
      <x:c r="B14" s="22" t="n"/>
      <x:c r="C14" s="22" t="n"/>
      <x:c r="D14" s="22" t="n"/>
      <x:c r="E14" s="23" t="n"/>
      <x:c r="F14" s="22" t="n"/>
      <x:c r="G14" s="22" t="n"/>
      <x:c r="H14" s="22" t="n"/>
      <x:c r="I14" s="22" t="n"/>
      <x:c r="J14" s="22" t="n"/>
      <x:c r="K14" s="22" t="n"/>
      <x:c r="L14" s="22" t="n"/>
      <x:c r="M14" s="22" t="n"/>
      <x:c r="N14" s="22" t="n"/>
    </x:row>
    <x:row r="15">
      <x:c r="A15" s="22" t="n"/>
      <x:c r="B15" s="22" t="n"/>
      <x:c r="C15" s="22" t="n"/>
      <x:c r="D15" s="22" t="n"/>
      <x:c r="E15" s="23" t="n"/>
      <x:c r="F15" s="22" t="n"/>
      <x:c r="G15" s="22" t="n"/>
      <x:c r="H15" s="22" t="n"/>
      <x:c r="I15" s="22" t="n"/>
      <x:c r="J15" s="22" t="n"/>
      <x:c r="K15" s="22" t="n"/>
      <x:c r="L15" s="22" t="n"/>
      <x:c r="M15" s="22" t="n"/>
      <x:c r="N15" s="22" t="n"/>
    </x:row>
    <x:row r="16">
      <x:c r="A16" s="22" t="n"/>
      <x:c r="B16" s="22" t="n"/>
      <x:c r="C16" s="22" t="n"/>
      <x:c r="D16" s="22" t="n"/>
      <x:c r="E16" s="23" t="n"/>
      <x:c r="F16" s="22" t="n"/>
      <x:c r="G16" s="22" t="n"/>
      <x:c r="H16" s="22" t="n"/>
      <x:c r="I16" s="22" t="n"/>
      <x:c r="J16" s="22" t="n"/>
      <x:c r="K16" s="22" t="n"/>
      <x:c r="L16" s="22" t="n"/>
      <x:c r="M16" s="22" t="n"/>
      <x:c r="N16" s="22" t="n"/>
    </x:row>
    <x:row r="17">
      <x:c r="A17" s="22" t="n"/>
      <x:c r="B17" s="22" t="n"/>
      <x:c r="C17" s="22" t="n"/>
      <x:c r="D17" s="22" t="n"/>
      <x:c r="E17" s="23" t="n"/>
      <x:c r="F17" s="22" t="n"/>
      <x:c r="G17" s="22" t="n"/>
      <x:c r="H17" s="22" t="n"/>
      <x:c r="I17" s="22" t="n"/>
      <x:c r="J17" s="22" t="n"/>
      <x:c r="K17" s="22" t="n"/>
      <x:c r="L17" s="22" t="n"/>
      <x:c r="M17" s="22" t="n"/>
      <x:c r="N17" s="22" t="n"/>
    </x:row>
    <x:row r="18">
      <x:c r="A18" s="22" t="n"/>
      <x:c r="B18" s="22" t="n"/>
      <x:c r="C18" s="22" t="n"/>
      <x:c r="D18" s="22" t="n"/>
      <x:c r="E18" s="23" t="n"/>
      <x:c r="F18" s="22" t="n"/>
      <x:c r="G18" s="22" t="n"/>
      <x:c r="H18" s="22" t="n"/>
      <x:c r="I18" s="22" t="n"/>
      <x:c r="J18" s="22" t="n"/>
      <x:c r="K18" s="22" t="n"/>
      <x:c r="L18" s="22" t="n"/>
      <x:c r="M18" s="22" t="n"/>
      <x:c r="N18" s="22" t="n"/>
    </x:row>
    <x:row r="19">
      <x:c r="A19" s="22" t="n"/>
      <x:c r="B19" s="22" t="n"/>
      <x:c r="C19" s="22" t="n"/>
      <x:c r="D19" s="22" t="n"/>
      <x:c r="E19" s="23" t="n"/>
      <x:c r="F19" s="22" t="n"/>
      <x:c r="G19" s="22" t="n"/>
      <x:c r="H19" s="22" t="n"/>
      <x:c r="I19" s="22" t="n"/>
      <x:c r="J19" s="22" t="n"/>
      <x:c r="K19" s="22" t="n"/>
      <x:c r="L19" s="22" t="n"/>
      <x:c r="M19" s="22" t="n"/>
      <x:c r="N19" s="22" t="n"/>
    </x:row>
    <x:row r="20">
      <x:c r="A20" s="22" t="n"/>
      <x:c r="B20" s="22" t="n"/>
      <x:c r="C20" s="22" t="n"/>
      <x:c r="D20" s="22" t="n"/>
      <x:c r="E20" s="23" t="n"/>
      <x:c r="F20" s="22" t="n"/>
      <x:c r="G20" s="22" t="n"/>
      <x:c r="H20" s="22" t="n"/>
      <x:c r="I20" s="22" t="n"/>
      <x:c r="J20" s="22" t="n"/>
      <x:c r="K20" s="22" t="n"/>
      <x:c r="L20" s="22" t="n"/>
      <x:c r="M20" s="22" t="n"/>
      <x:c r="N20" s="22" t="n"/>
    </x:row>
    <x:row r="21">
      <x:c r="A21" s="22" t="n"/>
      <x:c r="B21" s="22" t="n"/>
      <x:c r="C21" s="22" t="n"/>
      <x:c r="D21" s="22" t="n"/>
      <x:c r="E21" s="23" t="n"/>
      <x:c r="F21" s="22" t="n"/>
      <x:c r="G21" s="22" t="n"/>
      <x:c r="H21" s="22" t="n"/>
      <x:c r="I21" s="22" t="n"/>
      <x:c r="J21" s="22" t="n"/>
      <x:c r="K21" s="22" t="n"/>
      <x:c r="L21" s="22" t="n"/>
      <x:c r="M21" s="22" t="n"/>
      <x:c r="N21" s="22" t="n"/>
    </x:row>
    <x:row r="22">
      <x:c r="A22" s="22" t="n"/>
      <x:c r="B22" s="22" t="n"/>
      <x:c r="C22" s="22" t="n"/>
      <x:c r="D22" s="22" t="n"/>
      <x:c r="E22" s="23" t="n"/>
      <x:c r="F22" s="22" t="n"/>
      <x:c r="G22" s="22" t="n"/>
      <x:c r="H22" s="22" t="n"/>
      <x:c r="I22" s="22" t="n"/>
      <x:c r="J22" s="22" t="n"/>
      <x:c r="K22" s="22" t="n"/>
      <x:c r="L22" s="22" t="n"/>
      <x:c r="M22" s="22" t="n"/>
      <x:c r="N22" s="22" t="n"/>
    </x:row>
    <x:row r="23">
      <x:c r="A23" s="22" t="n"/>
      <x:c r="B23" s="22" t="n"/>
      <x:c r="C23" s="22" t="n"/>
      <x:c r="D23" s="22" t="n"/>
      <x:c r="E23" s="23" t="n"/>
      <x:c r="F23" s="22" t="n"/>
      <x:c r="G23" s="22" t="n"/>
      <x:c r="H23" s="22" t="n"/>
      <x:c r="I23" s="22" t="n"/>
      <x:c r="J23" s="22" t="n"/>
      <x:c r="K23" s="22" t="n"/>
      <x:c r="L23" s="22" t="n"/>
      <x:c r="M23" s="22" t="n"/>
      <x:c r="N23" s="22" t="n"/>
    </x:row>
    <x:row r="24">
      <x:c r="A24" s="22" t="n"/>
      <x:c r="B24" s="22" t="n"/>
      <x:c r="C24" s="22" t="n"/>
      <x:c r="D24" s="22" t="n"/>
      <x:c r="E24" s="23" t="n"/>
      <x:c r="F24" s="22" t="n"/>
      <x:c r="G24" s="22" t="n"/>
      <x:c r="H24" s="22" t="n"/>
      <x:c r="I24" s="22" t="n"/>
      <x:c r="J24" s="22" t="n"/>
      <x:c r="K24" s="22" t="n"/>
      <x:c r="L24" s="22" t="n"/>
      <x:c r="M24" s="22" t="n"/>
      <x:c r="N24" s="22" t="n"/>
    </x:row>
    <x:row r="25">
      <x:c r="A25" s="22" t="n"/>
      <x:c r="B25" s="22" t="n"/>
      <x:c r="C25" s="22" t="n"/>
      <x:c r="D25" s="22" t="n"/>
      <x:c r="E25" s="23" t="n"/>
      <x:c r="F25" s="22" t="n"/>
      <x:c r="G25" s="22" t="n"/>
      <x:c r="H25" s="22" t="n"/>
      <x:c r="I25" s="22" t="n"/>
      <x:c r="J25" s="22" t="n"/>
      <x:c r="K25" s="22" t="n"/>
      <x:c r="L25" s="22" t="n"/>
      <x:c r="M25" s="22" t="n"/>
      <x:c r="N25" s="22" t="n"/>
    </x:row>
    <x:row r="26">
      <x:c r="A26" s="22" t="n"/>
      <x:c r="B26" s="22" t="n"/>
      <x:c r="C26" s="22" t="n"/>
      <x:c r="D26" s="22" t="n"/>
      <x:c r="E26" s="23" t="n"/>
      <x:c r="F26" s="22" t="n"/>
      <x:c r="G26" s="22" t="n"/>
      <x:c r="H26" s="22" t="n"/>
      <x:c r="I26" s="22" t="n"/>
      <x:c r="J26" s="22" t="n"/>
      <x:c r="K26" s="22" t="n"/>
      <x:c r="L26" s="22" t="n"/>
      <x:c r="M26" s="22" t="n"/>
      <x:c r="N26" s="22" t="n"/>
    </x:row>
    <x:row r="27">
      <x:c r="A27" s="22" t="n"/>
      <x:c r="B27" s="22" t="n"/>
      <x:c r="C27" s="22" t="n"/>
      <x:c r="D27" s="22" t="n"/>
      <x:c r="E27" s="23" t="n"/>
      <x:c r="F27" s="22" t="n"/>
      <x:c r="G27" s="22" t="n"/>
      <x:c r="H27" s="22" t="n"/>
      <x:c r="I27" s="22" t="n"/>
      <x:c r="J27" s="22" t="n"/>
      <x:c r="K27" s="22" t="n"/>
      <x:c r="L27" s="22" t="n"/>
      <x:c r="M27" s="22" t="n"/>
      <x:c r="N27" s="22" t="n"/>
    </x:row>
    <x:row r="28">
      <x:c r="A28" s="22" t="n"/>
      <x:c r="B28" s="22" t="n"/>
      <x:c r="C28" s="22" t="n"/>
      <x:c r="D28" s="22" t="n"/>
      <x:c r="E28" s="23" t="n"/>
      <x:c r="F28" s="22" t="n"/>
      <x:c r="G28" s="22" t="n"/>
      <x:c r="H28" s="22" t="n"/>
      <x:c r="I28" s="22" t="n"/>
      <x:c r="J28" s="22" t="n"/>
      <x:c r="K28" s="22" t="n"/>
      <x:c r="L28" s="22" t="n"/>
      <x:c r="M28" s="22" t="n"/>
      <x:c r="N28" s="22" t="n"/>
    </x:row>
    <x:row r="29">
      <x:c r="A29" s="22" t="n"/>
      <x:c r="B29" s="22" t="n"/>
      <x:c r="C29" s="22" t="n"/>
      <x:c r="D29" s="22" t="n"/>
      <x:c r="E29" s="23" t="n"/>
      <x:c r="F29" s="22" t="n"/>
      <x:c r="G29" s="22" t="n"/>
      <x:c r="H29" s="22" t="n"/>
      <x:c r="I29" s="22" t="n"/>
      <x:c r="J29" s="22" t="n"/>
      <x:c r="K29" s="22" t="n"/>
      <x:c r="L29" s="22" t="n"/>
      <x:c r="M29" s="22" t="n"/>
      <x:c r="N29" s="22" t="n"/>
    </x:row>
    <x:row r="30">
      <x:c r="A30" s="22" t="n"/>
      <x:c r="B30" s="22" t="n"/>
      <x:c r="C30" s="22" t="n"/>
      <x:c r="D30" s="22" t="n"/>
      <x:c r="E30" s="23" t="n"/>
      <x:c r="F30" s="22" t="n"/>
      <x:c r="G30" s="22" t="n"/>
      <x:c r="H30" s="22" t="n"/>
      <x:c r="I30" s="22" t="n"/>
      <x:c r="J30" s="22" t="n"/>
      <x:c r="K30" s="22" t="n"/>
      <x:c r="L30" s="22" t="n"/>
      <x:c r="M30" s="22" t="n"/>
      <x:c r="N30" s="22" t="n"/>
    </x:row>
    <x:row r="31">
      <x:c r="A31" s="22" t="n"/>
      <x:c r="B31" s="22" t="n"/>
      <x:c r="C31" s="22" t="n"/>
      <x:c r="D31" s="22" t="n"/>
      <x:c r="E31" s="23" t="n"/>
      <x:c r="F31" s="22" t="n"/>
      <x:c r="G31" s="22" t="n"/>
      <x:c r="H31" s="22" t="n"/>
      <x:c r="I31" s="22" t="n"/>
      <x:c r="J31" s="22" t="n"/>
      <x:c r="K31" s="22" t="n"/>
      <x:c r="L31" s="22" t="n"/>
      <x:c r="M31" s="22" t="n"/>
      <x:c r="N31" s="22" t="n"/>
    </x:row>
    <x:row r="32">
      <x:c r="A32" s="22" t="n"/>
      <x:c r="B32" s="22" t="n"/>
      <x:c r="C32" s="22" t="n"/>
      <x:c r="D32" s="22" t="n"/>
      <x:c r="E32" s="23" t="n"/>
      <x:c r="F32" s="22" t="n"/>
      <x:c r="G32" s="22" t="n"/>
      <x:c r="H32" s="22" t="n"/>
      <x:c r="I32" s="22" t="n"/>
      <x:c r="J32" s="22" t="n"/>
      <x:c r="K32" s="22" t="n"/>
      <x:c r="L32" s="22" t="n"/>
      <x:c r="M32" s="22" t="n"/>
      <x:c r="N32" s="22" t="n"/>
    </x:row>
    <x:row r="33">
      <x:c r="A33" s="22" t="n"/>
      <x:c r="B33" s="22" t="n"/>
      <x:c r="C33" s="22" t="n"/>
      <x:c r="D33" s="22" t="n"/>
      <x:c r="E33" s="23" t="n"/>
      <x:c r="F33" s="22" t="n"/>
      <x:c r="G33" s="22" t="n"/>
      <x:c r="H33" s="22" t="n"/>
      <x:c r="I33" s="22" t="n"/>
      <x:c r="J33" s="22" t="n"/>
      <x:c r="K33" s="22" t="n"/>
      <x:c r="L33" s="22" t="n"/>
      <x:c r="M33" s="22" t="n"/>
      <x:c r="N33" s="22" t="n"/>
    </x:row>
    <x:row r="34">
      <x:c r="A34" s="22" t="n"/>
      <x:c r="B34" s="22" t="n"/>
      <x:c r="C34" s="22" t="n"/>
      <x:c r="D34" s="22" t="n"/>
      <x:c r="E34" s="23" t="n"/>
      <x:c r="F34" s="22" t="n"/>
      <x:c r="G34" s="22" t="n"/>
      <x:c r="H34" s="22" t="n"/>
      <x:c r="I34" s="22" t="n"/>
      <x:c r="J34" s="22" t="n"/>
      <x:c r="K34" s="22" t="n"/>
      <x:c r="L34" s="22" t="n"/>
      <x:c r="M34" s="22" t="n"/>
      <x:c r="N34" s="22" t="n"/>
    </x:row>
    <x:row r="35">
      <x:c r="A35" s="22" t="n"/>
      <x:c r="B35" s="22" t="n"/>
      <x:c r="C35" s="22" t="n"/>
      <x:c r="D35" s="22" t="n"/>
      <x:c r="E35" s="23" t="n"/>
      <x:c r="F35" s="22" t="n"/>
      <x:c r="G35" s="22" t="n"/>
      <x:c r="H35" s="22" t="n"/>
      <x:c r="I35" s="22" t="n"/>
      <x:c r="J35" s="22" t="n"/>
      <x:c r="K35" s="22" t="n"/>
      <x:c r="L35" s="22" t="n"/>
      <x:c r="M35" s="22" t="n"/>
      <x:c r="N35" s="22" t="n"/>
    </x:row>
    <x:row r="36">
      <x:c r="A36" s="22" t="n"/>
      <x:c r="B36" s="22" t="n"/>
      <x:c r="C36" s="22" t="n"/>
      <x:c r="D36" s="22" t="n"/>
      <x:c r="E36" s="23" t="n"/>
      <x:c r="F36" s="22" t="n"/>
      <x:c r="G36" s="22" t="n"/>
      <x:c r="H36" s="22" t="n"/>
      <x:c r="I36" s="22" t="n"/>
      <x:c r="J36" s="22" t="n"/>
      <x:c r="K36" s="22" t="n"/>
      <x:c r="L36" s="22" t="n"/>
      <x:c r="M36" s="22" t="n"/>
      <x:c r="N36" s="22" t="n"/>
    </x:row>
    <x:row r="37">
      <x:c r="A37" s="22" t="n"/>
      <x:c r="B37" s="22" t="n"/>
      <x:c r="C37" s="22" t="n"/>
      <x:c r="D37" s="22" t="n"/>
      <x:c r="E37" s="23" t="n"/>
      <x:c r="F37" s="22" t="n"/>
      <x:c r="G37" s="22" t="n"/>
      <x:c r="H37" s="22" t="n"/>
      <x:c r="I37" s="22" t="n"/>
      <x:c r="J37" s="22" t="n"/>
      <x:c r="K37" s="22" t="n"/>
      <x:c r="L37" s="22" t="n"/>
      <x:c r="M37" s="22" t="n"/>
      <x:c r="N37" s="22" t="n"/>
    </x:row>
    <x:row r="38">
      <x:c r="A38" s="22" t="n"/>
      <x:c r="B38" s="22" t="n"/>
      <x:c r="C38" s="22" t="n"/>
      <x:c r="D38" s="22" t="n"/>
      <x:c r="E38" s="23" t="n"/>
      <x:c r="F38" s="22" t="n"/>
      <x:c r="G38" s="22" t="n"/>
      <x:c r="H38" s="22" t="n"/>
      <x:c r="I38" s="22" t="n"/>
      <x:c r="J38" s="22" t="n"/>
      <x:c r="K38" s="22" t="n"/>
      <x:c r="L38" s="22" t="n"/>
      <x:c r="M38" s="22" t="n"/>
      <x:c r="N38" s="22" t="n"/>
    </x:row>
    <x:row r="39">
      <x:c r="A39" s="22" t="n"/>
      <x:c r="B39" s="22" t="n"/>
      <x:c r="C39" s="22" t="n"/>
      <x:c r="D39" s="22" t="n"/>
      <x:c r="E39" s="23" t="n"/>
      <x:c r="F39" s="22" t="n"/>
      <x:c r="G39" s="22" t="n"/>
      <x:c r="H39" s="22" t="n"/>
      <x:c r="I39" s="22" t="n"/>
      <x:c r="J39" s="22" t="n"/>
      <x:c r="K39" s="22" t="n"/>
      <x:c r="L39" s="22" t="n"/>
      <x:c r="M39" s="22" t="n"/>
      <x:c r="N39" s="22" t="n"/>
    </x:row>
    <x:row r="40">
      <x:c r="A40" s="22" t="n"/>
      <x:c r="B40" s="22" t="n"/>
      <x:c r="C40" s="22" t="n"/>
      <x:c r="D40" s="22" t="n"/>
      <x:c r="E40" s="23" t="n"/>
      <x:c r="F40" s="22" t="n"/>
      <x:c r="G40" s="22" t="n"/>
      <x:c r="H40" s="22" t="n"/>
      <x:c r="I40" s="22" t="n"/>
      <x:c r="J40" s="22" t="n"/>
      <x:c r="K40" s="22" t="n"/>
      <x:c r="L40" s="22" t="n"/>
      <x:c r="M40" s="22" t="n"/>
      <x:c r="N40" s="22" t="n"/>
    </x:row>
    <x:row r="41">
      <x:c r="A41" s="22" t="n"/>
      <x:c r="B41" s="22" t="n"/>
      <x:c r="C41" s="22" t="n"/>
      <x:c r="D41" s="22" t="n"/>
      <x:c r="E41" s="23" t="n"/>
      <x:c r="F41" s="22" t="n"/>
      <x:c r="G41" s="22" t="n"/>
      <x:c r="H41" s="22" t="n"/>
      <x:c r="I41" s="22" t="n"/>
      <x:c r="J41" s="22" t="n"/>
      <x:c r="K41" s="22" t="n"/>
      <x:c r="L41" s="22" t="n"/>
      <x:c r="M41" s="22" t="n"/>
      <x:c r="N41" s="22" t="n"/>
    </x:row>
    <x:row r="42">
      <x:c r="A42" s="22" t="n"/>
      <x:c r="B42" s="22" t="n"/>
      <x:c r="C42" s="22" t="n"/>
      <x:c r="D42" s="22" t="n"/>
      <x:c r="E42" s="23" t="n"/>
      <x:c r="F42" s="22" t="n"/>
      <x:c r="G42" s="22" t="n"/>
      <x:c r="H42" s="22" t="n"/>
      <x:c r="I42" s="22" t="n"/>
      <x:c r="J42" s="22" t="n"/>
      <x:c r="K42" s="22" t="n"/>
      <x:c r="L42" s="22" t="n"/>
      <x:c r="M42" s="22" t="n"/>
      <x:c r="N42" s="22" t="n"/>
    </x:row>
    <x:row r="43">
      <x:c r="A43" s="22" t="n"/>
      <x:c r="B43" s="22" t="n"/>
      <x:c r="C43" s="22" t="n"/>
      <x:c r="D43" s="22" t="n"/>
      <x:c r="E43" s="23" t="n"/>
      <x:c r="F43" s="22" t="n"/>
      <x:c r="G43" s="22" t="n"/>
      <x:c r="H43" s="22" t="n"/>
      <x:c r="I43" s="22" t="n"/>
      <x:c r="J43" s="22" t="n"/>
      <x:c r="K43" s="22" t="n"/>
      <x:c r="L43" s="22" t="n"/>
      <x:c r="M43" s="22" t="n"/>
      <x:c r="N43" s="22" t="n"/>
    </x:row>
    <x:row r="44">
      <x:c r="A44" s="22" t="n"/>
      <x:c r="B44" s="22" t="n"/>
      <x:c r="C44" s="22" t="n"/>
      <x:c r="D44" s="22" t="n"/>
      <x:c r="E44" s="23" t="n"/>
      <x:c r="F44" s="22" t="n"/>
      <x:c r="G44" s="22" t="n"/>
      <x:c r="H44" s="22" t="n"/>
      <x:c r="I44" s="22" t="n"/>
      <x:c r="J44" s="22" t="n"/>
      <x:c r="K44" s="22" t="n"/>
      <x:c r="L44" s="22" t="n"/>
      <x:c r="M44" s="22" t="n"/>
      <x:c r="N44" s="22" t="n"/>
    </x:row>
    <x:row r="45">
      <x:c r="A45" s="22" t="n"/>
      <x:c r="B45" s="22" t="n"/>
      <x:c r="C45" s="22" t="n"/>
      <x:c r="D45" s="22" t="n"/>
      <x:c r="E45" s="23" t="n"/>
      <x:c r="F45" s="22" t="n"/>
      <x:c r="G45" s="22" t="n"/>
      <x:c r="H45" s="22" t="n"/>
      <x:c r="I45" s="22" t="n"/>
      <x:c r="J45" s="22" t="n"/>
      <x:c r="K45" s="22" t="n"/>
      <x:c r="L45" s="22" t="n"/>
      <x:c r="M45" s="22" t="n"/>
      <x:c r="N45" s="22" t="n"/>
    </x:row>
    <x:row r="46">
      <x:c r="A46" s="22" t="n"/>
      <x:c r="B46" s="22" t="n"/>
      <x:c r="C46" s="22" t="n"/>
      <x:c r="D46" s="22" t="n"/>
      <x:c r="E46" s="23" t="n"/>
      <x:c r="F46" s="22" t="n"/>
      <x:c r="G46" s="22" t="n"/>
      <x:c r="H46" s="22" t="n"/>
      <x:c r="I46" s="22" t="n"/>
      <x:c r="J46" s="22" t="n"/>
      <x:c r="K46" s="22" t="n"/>
      <x:c r="L46" s="22" t="n"/>
      <x:c r="M46" s="22" t="n"/>
      <x:c r="N46" s="22" t="n"/>
    </x:row>
    <x:row r="47">
      <x:c r="A47" s="22" t="n"/>
      <x:c r="B47" s="22" t="n"/>
      <x:c r="C47" s="22" t="n"/>
      <x:c r="D47" s="22" t="n"/>
      <x:c r="E47" s="23" t="n"/>
      <x:c r="F47" s="22" t="n"/>
      <x:c r="G47" s="22" t="n"/>
      <x:c r="H47" s="22" t="n"/>
      <x:c r="I47" s="22" t="n"/>
      <x:c r="J47" s="22" t="n"/>
      <x:c r="K47" s="22" t="n"/>
      <x:c r="L47" s="22" t="n"/>
      <x:c r="M47" s="22" t="n"/>
      <x:c r="N47" s="22" t="n"/>
    </x:row>
    <x:row r="48">
      <x:c r="A48" s="22" t="n"/>
      <x:c r="B48" s="22" t="n"/>
      <x:c r="C48" s="22" t="n"/>
      <x:c r="D48" s="22" t="n"/>
      <x:c r="E48" s="23" t="n"/>
      <x:c r="F48" s="22" t="n"/>
      <x:c r="G48" s="22" t="n"/>
      <x:c r="H48" s="22" t="n"/>
      <x:c r="I48" s="22" t="n"/>
      <x:c r="J48" s="22" t="n"/>
      <x:c r="K48" s="22" t="n"/>
      <x:c r="L48" s="22" t="n"/>
      <x:c r="M48" s="22" t="n"/>
      <x:c r="N48" s="22" t="n"/>
    </x:row>
    <x:row r="49">
      <x:c r="A49" s="22" t="n"/>
      <x:c r="B49" s="22" t="n"/>
      <x:c r="C49" s="22" t="n"/>
      <x:c r="D49" s="22" t="n"/>
      <x:c r="E49" s="23" t="n"/>
      <x:c r="F49" s="22" t="n"/>
      <x:c r="G49" s="22" t="n"/>
      <x:c r="H49" s="22" t="n"/>
      <x:c r="I49" s="22" t="n"/>
      <x:c r="J49" s="22" t="n"/>
      <x:c r="K49" s="22" t="n"/>
      <x:c r="L49" s="22" t="n"/>
      <x:c r="M49" s="22" t="n"/>
      <x:c r="N49" s="22" t="n"/>
    </x:row>
    <x:row r="50">
      <x:c r="A50" s="22" t="n"/>
      <x:c r="B50" s="22" t="n"/>
      <x:c r="C50" s="22" t="n"/>
      <x:c r="D50" s="22" t="n"/>
      <x:c r="E50" s="23" t="n"/>
      <x:c r="F50" s="22" t="n"/>
      <x:c r="G50" s="22" t="n"/>
      <x:c r="H50" s="22" t="n"/>
      <x:c r="I50" s="22" t="n"/>
      <x:c r="J50" s="22" t="n"/>
      <x:c r="K50" s="22" t="n"/>
      <x:c r="L50" s="22" t="n"/>
      <x:c r="M50" s="22" t="n"/>
      <x:c r="N50" s="22" t="n"/>
    </x:row>
    <x:row r="51">
      <x:c r="A51" s="22" t="n"/>
      <x:c r="B51" s="22" t="n"/>
      <x:c r="C51" s="22" t="n"/>
      <x:c r="D51" s="22" t="n"/>
      <x:c r="E51" s="23" t="n"/>
      <x:c r="F51" s="22" t="n"/>
      <x:c r="G51" s="22" t="n"/>
      <x:c r="H51" s="22" t="n"/>
      <x:c r="I51" s="22" t="n"/>
      <x:c r="J51" s="22" t="n"/>
      <x:c r="K51" s="22" t="n"/>
      <x:c r="L51" s="22" t="n"/>
      <x:c r="M51" s="22" t="n"/>
      <x:c r="N51" s="22" t="n"/>
    </x:row>
    <x:row r="52">
      <x:c r="A52" s="22" t="n"/>
      <x:c r="B52" s="22" t="n"/>
      <x:c r="C52" s="22" t="n"/>
      <x:c r="D52" s="22" t="n"/>
      <x:c r="E52" s="23" t="n"/>
      <x:c r="F52" s="22" t="n"/>
      <x:c r="G52" s="22" t="n"/>
      <x:c r="H52" s="22" t="n"/>
      <x:c r="I52" s="22" t="n"/>
      <x:c r="J52" s="22" t="n"/>
      <x:c r="K52" s="22" t="n"/>
      <x:c r="L52" s="22" t="n"/>
      <x:c r="M52" s="22" t="n"/>
      <x:c r="N52" s="22" t="n"/>
    </x:row>
    <x:row r="53">
      <x:c r="A53" s="22" t="n"/>
      <x:c r="B53" s="22" t="n"/>
      <x:c r="C53" s="22" t="n"/>
      <x:c r="D53" s="22" t="n"/>
      <x:c r="E53" s="23" t="n"/>
      <x:c r="F53" s="22" t="n"/>
      <x:c r="G53" s="22" t="n"/>
      <x:c r="H53" s="22" t="n"/>
      <x:c r="I53" s="22" t="n"/>
      <x:c r="J53" s="22" t="n"/>
      <x:c r="K53" s="22" t="n"/>
      <x:c r="L53" s="22" t="n"/>
      <x:c r="M53" s="22" t="n"/>
      <x:c r="N53" s="22" t="n"/>
    </x:row>
    <x:row r="54">
      <x:c r="A54" s="22" t="n"/>
      <x:c r="B54" s="22" t="n"/>
      <x:c r="C54" s="22" t="n"/>
      <x:c r="D54" s="22" t="n"/>
      <x:c r="E54" s="23" t="n"/>
      <x:c r="F54" s="22" t="n"/>
      <x:c r="G54" s="22" t="n"/>
      <x:c r="H54" s="22" t="n"/>
      <x:c r="I54" s="22" t="n"/>
      <x:c r="J54" s="22" t="n"/>
      <x:c r="K54" s="22" t="n"/>
      <x:c r="L54" s="22" t="n"/>
      <x:c r="M54" s="22" t="n"/>
      <x:c r="N54" s="22" t="n"/>
    </x:row>
    <x:row r="55">
      <x:c r="A55" s="22" t="n"/>
      <x:c r="B55" s="22" t="n"/>
      <x:c r="C55" s="22" t="n"/>
      <x:c r="D55" s="22" t="n"/>
      <x:c r="E55" s="23" t="n"/>
      <x:c r="F55" s="22" t="n"/>
      <x:c r="G55" s="22" t="n"/>
      <x:c r="H55" s="22" t="n"/>
      <x:c r="I55" s="22" t="n"/>
      <x:c r="J55" s="22" t="n"/>
      <x:c r="K55" s="22" t="n"/>
      <x:c r="L55" s="22" t="n"/>
      <x:c r="M55" s="22" t="n"/>
      <x:c r="N55" s="22" t="n"/>
    </x:row>
    <x:row r="56">
      <x:c r="A56" s="22" t="n"/>
      <x:c r="B56" s="22" t="n"/>
      <x:c r="C56" s="22" t="n"/>
      <x:c r="D56" s="22" t="n"/>
      <x:c r="E56" s="23" t="n"/>
      <x:c r="F56" s="22" t="n"/>
      <x:c r="G56" s="22" t="n"/>
      <x:c r="H56" s="22" t="n"/>
      <x:c r="I56" s="22" t="n"/>
      <x:c r="J56" s="22" t="n"/>
      <x:c r="K56" s="22" t="n"/>
      <x:c r="L56" s="22" t="n"/>
      <x:c r="M56" s="22" t="n"/>
      <x:c r="N56" s="22" t="n"/>
    </x:row>
    <x:row r="57">
      <x:c r="A57" s="22" t="n"/>
      <x:c r="B57" s="22" t="n"/>
      <x:c r="C57" s="22" t="n"/>
      <x:c r="D57" s="22" t="n"/>
      <x:c r="E57" s="23" t="n"/>
      <x:c r="F57" s="22" t="n"/>
      <x:c r="G57" s="22" t="n"/>
      <x:c r="H57" s="22" t="n"/>
      <x:c r="I57" s="22" t="n"/>
      <x:c r="J57" s="22" t="n"/>
      <x:c r="K57" s="22" t="n"/>
      <x:c r="L57" s="22" t="n"/>
      <x:c r="M57" s="22" t="n"/>
      <x:c r="N57" s="22" t="n"/>
    </x:row>
    <x:row r="58">
      <x:c r="A58" s="22" t="n"/>
      <x:c r="B58" s="22" t="n"/>
      <x:c r="C58" s="22" t="n"/>
      <x:c r="D58" s="22" t="n"/>
      <x:c r="E58" s="23" t="n"/>
      <x:c r="F58" s="22" t="n"/>
      <x:c r="G58" s="22" t="n"/>
      <x:c r="H58" s="22" t="n"/>
      <x:c r="I58" s="22" t="n"/>
      <x:c r="J58" s="22" t="n"/>
      <x:c r="K58" s="22" t="n"/>
      <x:c r="L58" s="22" t="n"/>
      <x:c r="M58" s="22" t="n"/>
      <x:c r="N58" s="22" t="n"/>
    </x:row>
    <x:row r="59">
      <x:c r="A59" s="22" t="n"/>
      <x:c r="B59" s="22" t="n"/>
      <x:c r="C59" s="22" t="n"/>
      <x:c r="D59" s="22" t="n"/>
      <x:c r="E59" s="23" t="n"/>
      <x:c r="F59" s="22" t="n"/>
      <x:c r="G59" s="22" t="n"/>
      <x:c r="H59" s="22" t="n"/>
      <x:c r="I59" s="22" t="n"/>
      <x:c r="J59" s="22" t="n"/>
      <x:c r="K59" s="22" t="n"/>
      <x:c r="L59" s="22" t="n"/>
      <x:c r="M59" s="22" t="n"/>
      <x:c r="N59" s="22" t="n"/>
    </x:row>
    <x:row r="60">
      <x:c r="A60" s="22" t="n"/>
      <x:c r="B60" s="22" t="n"/>
      <x:c r="C60" s="22" t="n"/>
      <x:c r="D60" s="22" t="n"/>
      <x:c r="E60" s="23" t="n"/>
      <x:c r="F60" s="22" t="n"/>
      <x:c r="G60" s="22" t="n"/>
      <x:c r="H60" s="22" t="n"/>
      <x:c r="I60" s="22" t="n"/>
      <x:c r="J60" s="22" t="n"/>
      <x:c r="K60" s="22" t="n"/>
      <x:c r="L60" s="22" t="n"/>
      <x:c r="M60" s="22" t="n"/>
      <x:c r="N60" s="22" t="n"/>
    </x:row>
    <x:row r="61">
      <x:c r="A61" s="22" t="n"/>
      <x:c r="B61" s="22" t="n"/>
      <x:c r="C61" s="22" t="n"/>
      <x:c r="D61" s="22" t="n"/>
      <x:c r="E61" s="23" t="n"/>
      <x:c r="F61" s="22" t="n"/>
      <x:c r="G61" s="22" t="n"/>
      <x:c r="H61" s="22" t="n"/>
      <x:c r="I61" s="22" t="n"/>
      <x:c r="J61" s="22" t="n"/>
      <x:c r="K61" s="22" t="n"/>
      <x:c r="L61" s="22" t="n"/>
      <x:c r="M61" s="22" t="n"/>
      <x:c r="N61" s="22" t="n"/>
    </x:row>
    <x:row r="62">
      <x:c r="A62" s="22" t="n"/>
      <x:c r="B62" s="22" t="n"/>
      <x:c r="C62" s="22" t="n"/>
      <x:c r="D62" s="22" t="n"/>
      <x:c r="E62" s="23" t="n"/>
      <x:c r="F62" s="22" t="n"/>
      <x:c r="G62" s="22" t="n"/>
      <x:c r="H62" s="22" t="n"/>
      <x:c r="I62" s="22" t="n"/>
      <x:c r="J62" s="22" t="n"/>
      <x:c r="K62" s="22" t="n"/>
      <x:c r="L62" s="22" t="n"/>
      <x:c r="M62" s="22" t="n"/>
      <x:c r="N62" s="22" t="n"/>
    </x:row>
    <x:row r="63">
      <x:c r="A63" s="22" t="n"/>
      <x:c r="B63" s="22" t="n"/>
      <x:c r="C63" s="22" t="n"/>
      <x:c r="D63" s="22" t="n"/>
      <x:c r="E63" s="23" t="n"/>
      <x:c r="F63" s="22" t="n"/>
      <x:c r="G63" s="22" t="n"/>
      <x:c r="H63" s="22" t="n"/>
      <x:c r="I63" s="22" t="n"/>
      <x:c r="J63" s="22" t="n"/>
      <x:c r="K63" s="22" t="n"/>
      <x:c r="L63" s="22" t="n"/>
      <x:c r="M63" s="22" t="n"/>
      <x:c r="N63" s="22" t="n"/>
    </x:row>
    <x:row r="64">
      <x:c r="A64" s="22" t="n"/>
      <x:c r="B64" s="22" t="n"/>
      <x:c r="C64" s="22" t="n"/>
      <x:c r="D64" s="22" t="n"/>
      <x:c r="E64" s="23" t="n"/>
      <x:c r="F64" s="22" t="n"/>
      <x:c r="G64" s="22" t="n"/>
      <x:c r="H64" s="22" t="n"/>
      <x:c r="I64" s="22" t="n"/>
      <x:c r="J64" s="22" t="n"/>
      <x:c r="K64" s="22" t="n"/>
      <x:c r="L64" s="22" t="n"/>
      <x:c r="M64" s="22" t="n"/>
      <x:c r="N64" s="22" t="n"/>
    </x:row>
    <x:row r="65">
      <x:c r="A65" s="22" t="n"/>
      <x:c r="B65" s="22" t="n"/>
      <x:c r="C65" s="22" t="n"/>
      <x:c r="D65" s="22" t="n"/>
      <x:c r="E65" s="23" t="n"/>
      <x:c r="F65" s="22" t="n"/>
      <x:c r="G65" s="22" t="n"/>
      <x:c r="H65" s="22" t="n"/>
      <x:c r="I65" s="22" t="n"/>
      <x:c r="J65" s="22" t="n"/>
      <x:c r="K65" s="22" t="n"/>
      <x:c r="L65" s="22" t="n"/>
      <x:c r="M65" s="22" t="n"/>
      <x:c r="N65" s="22" t="n"/>
    </x:row>
    <x:row r="66">
      <x:c r="A66" s="22" t="n"/>
      <x:c r="B66" s="22" t="n"/>
      <x:c r="C66" s="22" t="n"/>
      <x:c r="D66" s="22" t="n"/>
      <x:c r="E66" s="23" t="n"/>
      <x:c r="F66" s="22" t="n"/>
      <x:c r="G66" s="22" t="n"/>
      <x:c r="H66" s="22" t="n"/>
      <x:c r="I66" s="22" t="n"/>
      <x:c r="J66" s="22" t="n"/>
      <x:c r="K66" s="22" t="n"/>
      <x:c r="L66" s="22" t="n"/>
      <x:c r="M66" s="22" t="n"/>
      <x:c r="N66" s="22" t="n"/>
    </x:row>
    <x:row r="67">
      <x:c r="A67" s="22" t="n"/>
      <x:c r="B67" s="22" t="n"/>
      <x:c r="C67" s="22" t="n"/>
      <x:c r="D67" s="22" t="n"/>
      <x:c r="E67" s="23" t="n"/>
      <x:c r="F67" s="22" t="n"/>
      <x:c r="G67" s="22" t="n"/>
      <x:c r="H67" s="22" t="n"/>
      <x:c r="I67" s="22" t="n"/>
      <x:c r="J67" s="22" t="n"/>
      <x:c r="K67" s="22" t="n"/>
      <x:c r="L67" s="22" t="n"/>
      <x:c r="M67" s="22" t="n"/>
      <x:c r="N67" s="22" t="n"/>
    </x:row>
    <x:row r="68">
      <x:c r="A68" s="22" t="n"/>
      <x:c r="B68" s="22" t="n"/>
      <x:c r="C68" s="22" t="n"/>
      <x:c r="D68" s="22" t="n"/>
      <x:c r="E68" s="23" t="n"/>
      <x:c r="F68" s="22" t="n"/>
      <x:c r="G68" s="22" t="n"/>
      <x:c r="H68" s="22" t="n"/>
      <x:c r="I68" s="22" t="n"/>
      <x:c r="J68" s="22" t="n"/>
      <x:c r="K68" s="22" t="n"/>
      <x:c r="L68" s="22" t="n"/>
      <x:c r="M68" s="22" t="n"/>
      <x:c r="N68" s="22" t="n"/>
    </x:row>
    <x:row r="69">
      <x:c r="A69" s="22" t="n"/>
      <x:c r="B69" s="22" t="n"/>
      <x:c r="C69" s="22" t="n"/>
      <x:c r="D69" s="22" t="n"/>
      <x:c r="E69" s="23" t="n"/>
      <x:c r="F69" s="22" t="n"/>
      <x:c r="G69" s="22" t="n"/>
      <x:c r="H69" s="22" t="n"/>
      <x:c r="I69" s="22" t="n"/>
      <x:c r="J69" s="22" t="n"/>
      <x:c r="K69" s="22" t="n"/>
      <x:c r="L69" s="22" t="n"/>
      <x:c r="M69" s="22" t="n"/>
      <x:c r="N69" s="22" t="n"/>
    </x:row>
    <x:row r="70">
      <x:c r="A70" s="22" t="n"/>
      <x:c r="B70" s="22" t="n"/>
      <x:c r="C70" s="22" t="n"/>
      <x:c r="D70" s="22" t="n"/>
      <x:c r="E70" s="23" t="n"/>
      <x:c r="F70" s="22" t="n"/>
      <x:c r="G70" s="22" t="n"/>
      <x:c r="H70" s="22" t="n"/>
      <x:c r="I70" s="22" t="n"/>
      <x:c r="J70" s="22" t="n"/>
      <x:c r="K70" s="22" t="n"/>
      <x:c r="L70" s="22" t="n"/>
      <x:c r="M70" s="22" t="n"/>
      <x:c r="N70" s="22" t="n"/>
    </x:row>
    <x:row r="71">
      <x:c r="A71" s="22" t="n"/>
      <x:c r="B71" s="22" t="n"/>
      <x:c r="C71" s="22" t="n"/>
      <x:c r="D71" s="22" t="n"/>
      <x:c r="E71" s="23" t="n"/>
      <x:c r="F71" s="22" t="n"/>
      <x:c r="G71" s="22" t="n"/>
      <x:c r="H71" s="22" t="n"/>
      <x:c r="I71" s="22" t="n"/>
      <x:c r="J71" s="22" t="n"/>
      <x:c r="K71" s="22" t="n"/>
      <x:c r="L71" s="22" t="n"/>
      <x:c r="M71" s="22" t="n"/>
      <x:c r="N71" s="22" t="n"/>
    </x:row>
    <x:row r="72">
      <x:c r="A72" s="22" t="n"/>
      <x:c r="B72" s="22" t="n"/>
      <x:c r="C72" s="22" t="n"/>
      <x:c r="D72" s="22" t="n"/>
      <x:c r="E72" s="23" t="n"/>
      <x:c r="F72" s="22" t="n"/>
      <x:c r="G72" s="22" t="n"/>
      <x:c r="H72" s="22" t="n"/>
      <x:c r="I72" s="22" t="n"/>
      <x:c r="J72" s="22" t="n"/>
      <x:c r="K72" s="22" t="n"/>
      <x:c r="L72" s="22" t="n"/>
      <x:c r="M72" s="22" t="n"/>
      <x:c r="N72" s="22" t="n"/>
    </x:row>
    <x:row r="73">
      <x:c r="A73" s="22" t="n"/>
      <x:c r="B73" s="22" t="n"/>
      <x:c r="C73" s="22" t="n"/>
      <x:c r="D73" s="22" t="n"/>
      <x:c r="E73" s="23" t="n"/>
      <x:c r="F73" s="22" t="n"/>
      <x:c r="G73" s="22" t="n"/>
      <x:c r="H73" s="22" t="n"/>
      <x:c r="I73" s="22" t="n"/>
      <x:c r="J73" s="22" t="n"/>
      <x:c r="K73" s="22" t="n"/>
      <x:c r="L73" s="22" t="n"/>
      <x:c r="M73" s="22" t="n"/>
      <x:c r="N73" s="22" t="n"/>
    </x:row>
    <x:row r="74">
      <x:c r="A74" s="22" t="n"/>
      <x:c r="B74" s="22" t="n"/>
      <x:c r="C74" s="22" t="n"/>
      <x:c r="D74" s="22" t="n"/>
      <x:c r="E74" s="23" t="n"/>
      <x:c r="F74" s="22" t="n"/>
      <x:c r="G74" s="22" t="n"/>
      <x:c r="H74" s="22" t="n"/>
      <x:c r="I74" s="22" t="n"/>
      <x:c r="J74" s="22" t="n"/>
      <x:c r="K74" s="22" t="n"/>
      <x:c r="L74" s="22" t="n"/>
      <x:c r="M74" s="22" t="n"/>
      <x:c r="N74" s="22" t="n"/>
    </x:row>
    <x:row r="75">
      <x:c r="A75" s="22" t="n"/>
      <x:c r="B75" s="22" t="n"/>
      <x:c r="C75" s="22" t="n"/>
      <x:c r="D75" s="22" t="n"/>
      <x:c r="E75" s="23" t="n"/>
      <x:c r="F75" s="22" t="n"/>
      <x:c r="G75" s="22" t="n"/>
      <x:c r="H75" s="22" t="n"/>
      <x:c r="I75" s="22" t="n"/>
      <x:c r="J75" s="22" t="n"/>
      <x:c r="K75" s="22" t="n"/>
      <x:c r="L75" s="22" t="n"/>
      <x:c r="M75" s="22" t="n"/>
      <x:c r="N75" s="22" t="n"/>
    </x:row>
    <x:row r="76">
      <x:c r="A76" s="22" t="n"/>
      <x:c r="B76" s="22" t="n"/>
      <x:c r="C76" s="22" t="n"/>
      <x:c r="D76" s="22" t="n"/>
      <x:c r="E76" s="23" t="n"/>
      <x:c r="F76" s="22" t="n"/>
      <x:c r="G76" s="22" t="n"/>
      <x:c r="H76" s="22" t="n"/>
      <x:c r="I76" s="22" t="n"/>
      <x:c r="J76" s="22" t="n"/>
      <x:c r="K76" s="22" t="n"/>
      <x:c r="L76" s="22" t="n"/>
      <x:c r="M76" s="22" t="n"/>
      <x:c r="N76" s="22" t="n"/>
    </x:row>
    <x:row r="77">
      <x:c r="A77" s="22" t="n"/>
      <x:c r="B77" s="22" t="n"/>
      <x:c r="C77" s="22" t="n"/>
      <x:c r="D77" s="22" t="n"/>
      <x:c r="E77" s="23" t="n"/>
      <x:c r="F77" s="22" t="n"/>
      <x:c r="G77" s="22" t="n"/>
      <x:c r="H77" s="22" t="n"/>
      <x:c r="I77" s="22" t="n"/>
      <x:c r="J77" s="22" t="n"/>
      <x:c r="K77" s="22" t="n"/>
      <x:c r="L77" s="22" t="n"/>
      <x:c r="M77" s="22" t="n"/>
      <x:c r="N77" s="22" t="n"/>
    </x:row>
    <x:row r="78">
      <x:c r="A78" s="22" t="n"/>
      <x:c r="B78" s="22" t="n"/>
      <x:c r="C78" s="22" t="n"/>
      <x:c r="D78" s="22" t="n"/>
      <x:c r="E78" s="23" t="n"/>
      <x:c r="F78" s="22" t="n"/>
      <x:c r="G78" s="22" t="n"/>
      <x:c r="H78" s="22" t="n"/>
      <x:c r="I78" s="22" t="n"/>
      <x:c r="J78" s="22" t="n"/>
      <x:c r="K78" s="22" t="n"/>
      <x:c r="L78" s="22" t="n"/>
      <x:c r="M78" s="22" t="n"/>
      <x:c r="N78" s="22" t="n"/>
    </x:row>
    <x:row r="79">
      <x:c r="A79" s="22" t="n"/>
      <x:c r="B79" s="22" t="n"/>
      <x:c r="C79" s="22" t="n"/>
      <x:c r="D79" s="22" t="n"/>
      <x:c r="E79" s="23" t="n"/>
      <x:c r="F79" s="22" t="n"/>
      <x:c r="G79" s="22" t="n"/>
      <x:c r="H79" s="22" t="n"/>
      <x:c r="I79" s="22" t="n"/>
      <x:c r="J79" s="22" t="n"/>
      <x:c r="K79" s="22" t="n"/>
      <x:c r="L79" s="22" t="n"/>
      <x:c r="M79" s="22" t="n"/>
      <x:c r="N79" s="22" t="n"/>
    </x:row>
    <x:row r="80">
      <x:c r="A80" s="22" t="n"/>
      <x:c r="B80" s="22" t="n"/>
      <x:c r="C80" s="22" t="n"/>
      <x:c r="D80" s="22" t="n"/>
      <x:c r="E80" s="23" t="n"/>
      <x:c r="F80" s="22" t="n"/>
      <x:c r="G80" s="22" t="n"/>
      <x:c r="H80" s="22" t="n"/>
      <x:c r="I80" s="22" t="n"/>
      <x:c r="J80" s="22" t="n"/>
      <x:c r="K80" s="22" t="n"/>
      <x:c r="L80" s="22" t="n"/>
      <x:c r="M80" s="22" t="n"/>
      <x:c r="N80" s="22" t="n"/>
    </x:row>
    <x:row r="81">
      <x:c r="A81" s="22" t="n"/>
      <x:c r="B81" s="22" t="n"/>
      <x:c r="C81" s="22" t="n"/>
      <x:c r="D81" s="22" t="n"/>
      <x:c r="E81" s="23" t="n"/>
      <x:c r="F81" s="22" t="n"/>
      <x:c r="G81" s="22" t="n"/>
      <x:c r="H81" s="22" t="n"/>
      <x:c r="I81" s="22" t="n"/>
      <x:c r="J81" s="22" t="n"/>
      <x:c r="K81" s="22" t="n"/>
      <x:c r="L81" s="22" t="n"/>
      <x:c r="M81" s="22" t="n"/>
      <x:c r="N81" s="22" t="n"/>
    </x:row>
    <x:row r="82">
      <x:c r="A82" s="22" t="n"/>
      <x:c r="B82" s="22" t="n"/>
      <x:c r="C82" s="22" t="n"/>
      <x:c r="D82" s="22" t="n"/>
      <x:c r="E82" s="23" t="n"/>
      <x:c r="F82" s="22" t="n"/>
      <x:c r="G82" s="22" t="n"/>
      <x:c r="H82" s="22" t="n"/>
      <x:c r="I82" s="22" t="n"/>
      <x:c r="J82" s="22" t="n"/>
      <x:c r="K82" s="22" t="n"/>
      <x:c r="L82" s="22" t="n"/>
      <x:c r="M82" s="22" t="n"/>
      <x:c r="N82" s="22" t="n"/>
    </x:row>
    <x:row r="83">
      <x:c r="A83" s="22" t="n"/>
      <x:c r="B83" s="22" t="n"/>
      <x:c r="C83" s="22" t="n"/>
      <x:c r="D83" s="22" t="n"/>
      <x:c r="E83" s="23" t="n"/>
      <x:c r="F83" s="22" t="n"/>
      <x:c r="G83" s="22" t="n"/>
      <x:c r="H83" s="22" t="n"/>
      <x:c r="I83" s="22" t="n"/>
      <x:c r="J83" s="22" t="n"/>
      <x:c r="K83" s="22" t="n"/>
      <x:c r="L83" s="22" t="n"/>
      <x:c r="M83" s="22" t="n"/>
      <x:c r="N83" s="22" t="n"/>
    </x:row>
    <x:row r="84">
      <x:c r="A84" s="22" t="n"/>
      <x:c r="B84" s="22" t="n"/>
      <x:c r="C84" s="22" t="n"/>
      <x:c r="D84" s="22" t="n"/>
      <x:c r="E84" s="23" t="n"/>
      <x:c r="F84" s="22" t="n"/>
      <x:c r="G84" s="22" t="n"/>
      <x:c r="H84" s="22" t="n"/>
      <x:c r="I84" s="22" t="n"/>
      <x:c r="J84" s="22" t="n"/>
      <x:c r="K84" s="22" t="n"/>
      <x:c r="L84" s="22" t="n"/>
      <x:c r="M84" s="22" t="n"/>
      <x:c r="N84" s="22" t="n"/>
    </x:row>
    <x:row r="85">
      <x:c r="A85" s="22" t="n"/>
      <x:c r="B85" s="22" t="n"/>
      <x:c r="C85" s="22" t="n"/>
      <x:c r="D85" s="22" t="n"/>
      <x:c r="E85" s="23" t="n"/>
      <x:c r="F85" s="22" t="n"/>
      <x:c r="G85" s="22" t="n"/>
      <x:c r="H85" s="22" t="n"/>
      <x:c r="I85" s="22" t="n"/>
      <x:c r="J85" s="22" t="n"/>
      <x:c r="K85" s="22" t="n"/>
      <x:c r="L85" s="22" t="n"/>
      <x:c r="M85" s="22" t="n"/>
      <x:c r="N85" s="22" t="n"/>
    </x:row>
    <x:row r="86">
      <x:c r="A86" s="22" t="n"/>
      <x:c r="B86" s="22" t="n"/>
      <x:c r="C86" s="22" t="n"/>
      <x:c r="D86" s="22" t="n"/>
      <x:c r="E86" s="23" t="n"/>
      <x:c r="F86" s="22" t="n"/>
      <x:c r="G86" s="22" t="n"/>
      <x:c r="H86" s="22" t="n"/>
      <x:c r="I86" s="22" t="n"/>
      <x:c r="J86" s="22" t="n"/>
      <x:c r="K86" s="22" t="n"/>
      <x:c r="L86" s="22" t="n"/>
      <x:c r="M86" s="22" t="n"/>
      <x:c r="N86" s="22" t="n"/>
    </x:row>
    <x:row r="87">
      <x:c r="A87" s="22" t="n"/>
      <x:c r="B87" s="22" t="n"/>
      <x:c r="C87" s="22" t="n"/>
      <x:c r="D87" s="22" t="n"/>
      <x:c r="E87" s="23" t="n"/>
      <x:c r="F87" s="22" t="n"/>
      <x:c r="G87" s="22" t="n"/>
      <x:c r="H87" s="22" t="n"/>
      <x:c r="I87" s="22" t="n"/>
      <x:c r="J87" s="22" t="n"/>
      <x:c r="K87" s="22" t="n"/>
      <x:c r="L87" s="22" t="n"/>
      <x:c r="M87" s="22" t="n"/>
      <x:c r="N87" s="22" t="n"/>
    </x:row>
    <x:row r="88">
      <x:c r="A88" s="22" t="n"/>
      <x:c r="B88" s="22" t="n"/>
      <x:c r="C88" s="22" t="n"/>
      <x:c r="D88" s="22" t="n"/>
      <x:c r="E88" s="23" t="n"/>
      <x:c r="F88" s="22" t="n"/>
      <x:c r="G88" s="22" t="n"/>
      <x:c r="H88" s="22" t="n"/>
      <x:c r="I88" s="22" t="n"/>
      <x:c r="J88" s="22" t="n"/>
      <x:c r="K88" s="22" t="n"/>
      <x:c r="L88" s="22" t="n"/>
      <x:c r="M88" s="22" t="n"/>
      <x:c r="N88" s="22" t="n"/>
    </x:row>
    <x:row r="89">
      <x:c r="A89" s="22" t="n"/>
      <x:c r="B89" s="22" t="n"/>
      <x:c r="C89" s="22" t="n"/>
      <x:c r="D89" s="22" t="n"/>
      <x:c r="E89" s="23" t="n"/>
      <x:c r="F89" s="22" t="n"/>
      <x:c r="G89" s="22" t="n"/>
      <x:c r="H89" s="22" t="n"/>
      <x:c r="I89" s="22" t="n"/>
      <x:c r="J89" s="22" t="n"/>
      <x:c r="K89" s="22" t="n"/>
      <x:c r="L89" s="22" t="n"/>
      <x:c r="M89" s="22" t="n"/>
      <x:c r="N89" s="22" t="n"/>
    </x:row>
    <x:row r="90">
      <x:c r="A90" s="22" t="n"/>
      <x:c r="B90" s="22" t="n"/>
      <x:c r="C90" s="22" t="n"/>
      <x:c r="D90" s="22" t="n"/>
      <x:c r="E90" s="23" t="n"/>
      <x:c r="F90" s="22" t="n"/>
      <x:c r="G90" s="22" t="n"/>
      <x:c r="H90" s="22" t="n"/>
      <x:c r="I90" s="22" t="n"/>
      <x:c r="J90" s="22" t="n"/>
      <x:c r="K90" s="22" t="n"/>
      <x:c r="L90" s="22" t="n"/>
      <x:c r="M90" s="22" t="n"/>
      <x:c r="N90" s="22" t="n"/>
    </x:row>
    <x:row r="91">
      <x:c r="A91" s="22" t="n"/>
      <x:c r="B91" s="22" t="n"/>
      <x:c r="C91" s="22" t="n"/>
      <x:c r="D91" s="22" t="n"/>
      <x:c r="E91" s="23" t="n"/>
      <x:c r="F91" s="22" t="n"/>
      <x:c r="G91" s="22" t="n"/>
      <x:c r="H91" s="22" t="n"/>
      <x:c r="I91" s="22" t="n"/>
      <x:c r="J91" s="22" t="n"/>
      <x:c r="K91" s="22" t="n"/>
      <x:c r="L91" s="22" t="n"/>
      <x:c r="M91" s="22" t="n"/>
      <x:c r="N91" s="22" t="n"/>
    </x:row>
    <x:row r="92">
      <x:c r="A92" s="22" t="n"/>
      <x:c r="B92" s="22" t="n"/>
      <x:c r="C92" s="22" t="n"/>
      <x:c r="D92" s="22" t="n"/>
      <x:c r="E92" s="23" t="n"/>
      <x:c r="F92" s="22" t="n"/>
      <x:c r="G92" s="22" t="n"/>
      <x:c r="H92" s="22" t="n"/>
      <x:c r="I92" s="22" t="n"/>
      <x:c r="J92" s="22" t="n"/>
      <x:c r="K92" s="22" t="n"/>
      <x:c r="L92" s="22" t="n"/>
      <x:c r="M92" s="22" t="n"/>
      <x:c r="N92" s="22" t="n"/>
    </x:row>
    <x:row r="93">
      <x:c r="A93" s="22" t="n"/>
      <x:c r="B93" s="22" t="n"/>
      <x:c r="C93" s="22" t="n"/>
      <x:c r="D93" s="22" t="n"/>
      <x:c r="E93" s="23" t="n"/>
      <x:c r="F93" s="22" t="n"/>
      <x:c r="G93" s="22" t="n"/>
      <x:c r="H93" s="22" t="n"/>
      <x:c r="I93" s="22" t="n"/>
      <x:c r="J93" s="22" t="n"/>
      <x:c r="K93" s="22" t="n"/>
      <x:c r="L93" s="22" t="n"/>
      <x:c r="M93" s="22" t="n"/>
      <x:c r="N93" s="22" t="n"/>
    </x:row>
    <x:row r="94">
      <x:c r="A94" s="22" t="n"/>
      <x:c r="B94" s="22" t="n"/>
      <x:c r="C94" s="22" t="n"/>
      <x:c r="D94" s="22" t="n"/>
      <x:c r="E94" s="23" t="n"/>
      <x:c r="F94" s="22" t="n"/>
      <x:c r="G94" s="22" t="n"/>
      <x:c r="H94" s="22" t="n"/>
      <x:c r="I94" s="22" t="n"/>
      <x:c r="J94" s="22" t="n"/>
      <x:c r="K94" s="22" t="n"/>
      <x:c r="L94" s="22" t="n"/>
      <x:c r="M94" s="22" t="n"/>
      <x:c r="N94" s="22" t="n"/>
    </x:row>
    <x:row r="95">
      <x:c r="A95" s="22" t="n"/>
      <x:c r="B95" s="22" t="n"/>
      <x:c r="C95" s="22" t="n"/>
      <x:c r="D95" s="22" t="n"/>
      <x:c r="E95" s="23" t="n"/>
      <x:c r="F95" s="22" t="n"/>
      <x:c r="G95" s="22" t="n"/>
      <x:c r="H95" s="22" t="n"/>
      <x:c r="I95" s="22" t="n"/>
      <x:c r="J95" s="22" t="n"/>
      <x:c r="K95" s="22" t="n"/>
      <x:c r="L95" s="22" t="n"/>
      <x:c r="M95" s="22" t="n"/>
      <x:c r="N95" s="22" t="n"/>
    </x:row>
    <x:row r="96">
      <x:c r="A96" s="22" t="n"/>
      <x:c r="B96" s="22" t="n"/>
      <x:c r="C96" s="22" t="n"/>
      <x:c r="D96" s="22" t="n"/>
      <x:c r="E96" s="23" t="n"/>
      <x:c r="F96" s="22" t="n"/>
      <x:c r="G96" s="22" t="n"/>
      <x:c r="H96" s="22" t="n"/>
      <x:c r="I96" s="22" t="n"/>
      <x:c r="J96" s="22" t="n"/>
      <x:c r="K96" s="22" t="n"/>
      <x:c r="L96" s="22" t="n"/>
      <x:c r="M96" s="22" t="n"/>
      <x:c r="N96" s="22" t="n"/>
    </x:row>
    <x:row r="97">
      <x:c r="A97" s="22" t="n"/>
      <x:c r="B97" s="22" t="n"/>
      <x:c r="C97" s="22" t="n"/>
      <x:c r="D97" s="22" t="n"/>
      <x:c r="E97" s="23" t="n"/>
      <x:c r="F97" s="22" t="n"/>
      <x:c r="G97" s="22" t="n"/>
      <x:c r="H97" s="22" t="n"/>
      <x:c r="I97" s="22" t="n"/>
      <x:c r="J97" s="22" t="n"/>
      <x:c r="K97" s="22" t="n"/>
      <x:c r="L97" s="22" t="n"/>
      <x:c r="M97" s="22" t="n"/>
      <x:c r="N97" s="22" t="n"/>
    </x:row>
    <x:row r="98">
      <x:c r="A98" s="22" t="n"/>
      <x:c r="B98" s="22" t="n"/>
      <x:c r="C98" s="22" t="n"/>
      <x:c r="D98" s="22" t="n"/>
      <x:c r="E98" s="23" t="n"/>
      <x:c r="F98" s="22" t="n"/>
      <x:c r="G98" s="22" t="n"/>
      <x:c r="H98" s="22" t="n"/>
      <x:c r="I98" s="22" t="n"/>
      <x:c r="J98" s="22" t="n"/>
      <x:c r="K98" s="22" t="n"/>
      <x:c r="L98" s="22" t="n"/>
      <x:c r="M98" s="22" t="n"/>
      <x:c r="N98" s="22" t="n"/>
    </x:row>
    <x:row r="99">
      <x:c r="A99" s="22" t="n"/>
      <x:c r="B99" s="22" t="n"/>
      <x:c r="C99" s="22" t="n"/>
      <x:c r="D99" s="22" t="n"/>
      <x:c r="E99" s="23" t="n"/>
      <x:c r="F99" s="22" t="n"/>
      <x:c r="G99" s="22" t="n"/>
      <x:c r="H99" s="22" t="n"/>
      <x:c r="I99" s="22" t="n"/>
      <x:c r="J99" s="22" t="n"/>
      <x:c r="K99" s="22" t="n"/>
      <x:c r="L99" s="22" t="n"/>
      <x:c r="M99" s="22" t="n"/>
      <x:c r="N99" s="22" t="n"/>
    </x:row>
    <x:row r="100">
      <x:c r="A100" s="22" t="n"/>
      <x:c r="B100" s="22" t="n"/>
      <x:c r="C100" s="22" t="n"/>
      <x:c r="D100" s="22" t="n"/>
      <x:c r="E100" s="23" t="n"/>
      <x:c r="F100" s="22" t="n"/>
      <x:c r="G100" s="22" t="n"/>
      <x:c r="H100" s="22" t="n"/>
      <x:c r="I100" s="22" t="n"/>
      <x:c r="J100" s="22" t="n"/>
      <x:c r="K100" s="22" t="n"/>
      <x:c r="L100" s="22" t="n"/>
      <x:c r="M100" s="22" t="n"/>
      <x:c r="N100" s="22" t="n"/>
    </x:row>
    <x:row r="101">
      <x:c r="A101" s="22" t="n"/>
      <x:c r="B101" s="22" t="n"/>
      <x:c r="C101" s="22" t="n"/>
      <x:c r="D101" s="22" t="n"/>
      <x:c r="E101" s="23" t="n"/>
      <x:c r="F101" s="22" t="n"/>
      <x:c r="G101" s="22" t="n"/>
      <x:c r="H101" s="22" t="n"/>
      <x:c r="I101" s="22" t="n"/>
      <x:c r="J101" s="22" t="n"/>
      <x:c r="K101" s="22" t="n"/>
      <x:c r="L101" s="22" t="n"/>
      <x:c r="M101" s="22" t="n"/>
      <x:c r="N101" s="22" t="n"/>
    </x:row>
    <x:row r="102">
      <x:c r="A102" s="22" t="n"/>
      <x:c r="B102" s="22" t="n"/>
      <x:c r="C102" s="22" t="n"/>
      <x:c r="D102" s="22" t="n"/>
      <x:c r="E102" s="23" t="n"/>
      <x:c r="F102" s="22" t="n"/>
      <x:c r="G102" s="22" t="n"/>
      <x:c r="H102" s="22" t="n"/>
      <x:c r="I102" s="22" t="n"/>
      <x:c r="J102" s="22" t="n"/>
      <x:c r="K102" s="22" t="n"/>
      <x:c r="L102" s="22" t="n"/>
      <x:c r="M102" s="22" t="n"/>
      <x:c r="N102" s="22" t="n"/>
    </x:row>
    <x:row r="103">
      <x:c r="A103" s="22" t="n"/>
      <x:c r="B103" s="22" t="n"/>
      <x:c r="C103" s="22" t="n"/>
      <x:c r="D103" s="22" t="n"/>
      <x:c r="E103" s="23" t="n"/>
      <x:c r="F103" s="22" t="n"/>
      <x:c r="G103" s="22" t="n"/>
      <x:c r="H103" s="22" t="n"/>
      <x:c r="I103" s="22" t="n"/>
      <x:c r="J103" s="22" t="n"/>
      <x:c r="K103" s="22" t="n"/>
      <x:c r="L103" s="22" t="n"/>
      <x:c r="M103" s="22" t="n"/>
      <x:c r="N103" s="22" t="n"/>
    </x:row>
    <x:row r="104">
      <x:c r="A104" s="22" t="n"/>
      <x:c r="B104" s="22" t="n"/>
      <x:c r="C104" s="22" t="n"/>
      <x:c r="D104" s="22" t="n"/>
      <x:c r="E104" s="23" t="n"/>
      <x:c r="F104" s="22" t="n"/>
      <x:c r="G104" s="22" t="n"/>
      <x:c r="H104" s="22" t="n"/>
      <x:c r="I104" s="22" t="n"/>
      <x:c r="J104" s="22" t="n"/>
      <x:c r="K104" s="22" t="n"/>
      <x:c r="L104" s="22" t="n"/>
      <x:c r="M104" s="22" t="n"/>
      <x:c r="N104" s="22" t="n"/>
    </x:row>
    <x:row r="105">
      <x:c r="A105" s="22" t="n"/>
      <x:c r="B105" s="22" t="n"/>
      <x:c r="C105" s="22" t="n"/>
      <x:c r="D105" s="22" t="n"/>
      <x:c r="E105" s="23" t="n"/>
      <x:c r="F105" s="22" t="n"/>
      <x:c r="G105" s="22" t="n"/>
      <x:c r="H105" s="22" t="n"/>
      <x:c r="I105" s="22" t="n"/>
      <x:c r="J105" s="22" t="n"/>
      <x:c r="K105" s="22" t="n"/>
      <x:c r="L105" s="22" t="n"/>
      <x:c r="M105" s="22" t="n"/>
      <x:c r="N105" s="22" t="n"/>
    </x:row>
    <x:row r="106">
      <x:c r="A106" s="22" t="n"/>
      <x:c r="B106" s="22" t="n"/>
      <x:c r="C106" s="22" t="n"/>
      <x:c r="D106" s="22" t="n"/>
      <x:c r="E106" s="23" t="n"/>
      <x:c r="F106" s="22" t="n"/>
      <x:c r="G106" s="22" t="n"/>
      <x:c r="H106" s="22" t="n"/>
      <x:c r="I106" s="22" t="n"/>
      <x:c r="J106" s="22" t="n"/>
      <x:c r="K106" s="22" t="n"/>
      <x:c r="L106" s="22" t="n"/>
      <x:c r="M106" s="22" t="n"/>
      <x:c r="N106" s="22" t="n"/>
    </x:row>
    <x:row r="107">
      <x:c r="A107" s="22" t="n"/>
      <x:c r="B107" s="22" t="n"/>
      <x:c r="C107" s="22" t="n"/>
      <x:c r="D107" s="22" t="n"/>
      <x:c r="E107" s="23" t="n"/>
      <x:c r="F107" s="22" t="n"/>
      <x:c r="G107" s="22" t="n"/>
      <x:c r="H107" s="22" t="n"/>
      <x:c r="I107" s="22" t="n"/>
      <x:c r="J107" s="22" t="n"/>
      <x:c r="K107" s="22" t="n"/>
      <x:c r="L107" s="22" t="n"/>
      <x:c r="M107" s="22" t="n"/>
      <x:c r="N107" s="22" t="n"/>
    </x:row>
    <x:row r="108">
      <x:c r="A108" s="22" t="n"/>
      <x:c r="B108" s="22" t="n"/>
      <x:c r="C108" s="22" t="n"/>
      <x:c r="D108" s="22" t="n"/>
      <x:c r="E108" s="23" t="n"/>
      <x:c r="F108" s="22" t="n"/>
      <x:c r="G108" s="22" t="n"/>
      <x:c r="H108" s="22" t="n"/>
      <x:c r="I108" s="22" t="n"/>
      <x:c r="J108" s="22" t="n"/>
      <x:c r="K108" s="22" t="n"/>
      <x:c r="L108" s="22" t="n"/>
      <x:c r="M108" s="22" t="n"/>
      <x:c r="N108" s="22" t="n"/>
    </x:row>
    <x:row r="109">
      <x:c r="A109" s="22" t="n"/>
      <x:c r="B109" s="22" t="n"/>
      <x:c r="C109" s="22" t="n"/>
      <x:c r="D109" s="22" t="n"/>
      <x:c r="E109" s="23" t="n"/>
      <x:c r="F109" s="22" t="n"/>
      <x:c r="G109" s="22" t="n"/>
      <x:c r="H109" s="22" t="n"/>
      <x:c r="I109" s="22" t="n"/>
      <x:c r="J109" s="22" t="n"/>
      <x:c r="K109" s="22" t="n"/>
      <x:c r="L109" s="22" t="n"/>
      <x:c r="M109" s="22" t="n"/>
      <x:c r="N109" s="22" t="n"/>
    </x:row>
    <x:row r="110">
      <x:c r="A110" s="22" t="n"/>
      <x:c r="B110" s="22" t="n"/>
      <x:c r="C110" s="22" t="n"/>
      <x:c r="D110" s="22" t="n"/>
      <x:c r="E110" s="23" t="n"/>
      <x:c r="F110" s="22" t="n"/>
      <x:c r="G110" s="22" t="n"/>
      <x:c r="H110" s="22" t="n"/>
      <x:c r="I110" s="22" t="n"/>
      <x:c r="J110" s="22" t="n"/>
      <x:c r="K110" s="22" t="n"/>
      <x:c r="L110" s="22" t="n"/>
      <x:c r="M110" s="22" t="n"/>
      <x:c r="N110" s="22" t="n"/>
    </x:row>
    <x:row r="111">
      <x:c r="A111" s="22" t="n"/>
      <x:c r="B111" s="22" t="n"/>
      <x:c r="C111" s="22" t="n"/>
      <x:c r="D111" s="22" t="n"/>
      <x:c r="E111" s="23" t="n"/>
      <x:c r="F111" s="22" t="n"/>
      <x:c r="G111" s="22" t="n"/>
      <x:c r="H111" s="22" t="n"/>
      <x:c r="I111" s="22" t="n"/>
      <x:c r="J111" s="22" t="n"/>
      <x:c r="K111" s="22" t="n"/>
      <x:c r="L111" s="22" t="n"/>
      <x:c r="M111" s="22" t="n"/>
      <x:c r="N111" s="22" t="n"/>
    </x:row>
    <x:row r="112">
      <x:c r="A112" s="22" t="n"/>
      <x:c r="B112" s="22" t="n"/>
      <x:c r="C112" s="22" t="n"/>
      <x:c r="D112" s="22" t="n"/>
      <x:c r="E112" s="23" t="n"/>
      <x:c r="F112" s="22" t="n"/>
      <x:c r="G112" s="22" t="n"/>
      <x:c r="H112" s="22" t="n"/>
      <x:c r="I112" s="22" t="n"/>
      <x:c r="J112" s="22" t="n"/>
      <x:c r="K112" s="22" t="n"/>
      <x:c r="L112" s="22" t="n"/>
      <x:c r="M112" s="22" t="n"/>
      <x:c r="N112" s="22" t="n"/>
    </x:row>
    <x:row r="113">
      <x:c r="A113" s="22" t="n"/>
      <x:c r="B113" s="22" t="n"/>
      <x:c r="C113" s="22" t="n"/>
      <x:c r="D113" s="22" t="n"/>
      <x:c r="E113" s="23" t="n"/>
      <x:c r="F113" s="22" t="n"/>
      <x:c r="G113" s="22" t="n"/>
      <x:c r="H113" s="22" t="n"/>
      <x:c r="I113" s="22" t="n"/>
      <x:c r="J113" s="22" t="n"/>
      <x:c r="K113" s="22" t="n"/>
      <x:c r="L113" s="22" t="n"/>
      <x:c r="M113" s="22" t="n"/>
      <x:c r="N113" s="22" t="n"/>
    </x:row>
    <x:row r="114">
      <x:c r="A114" s="22" t="n"/>
      <x:c r="B114" s="22" t="n"/>
      <x:c r="C114" s="22" t="n"/>
      <x:c r="D114" s="22" t="n"/>
      <x:c r="E114" s="23" t="n"/>
      <x:c r="F114" s="22" t="n"/>
      <x:c r="G114" s="22" t="n"/>
      <x:c r="H114" s="22" t="n"/>
      <x:c r="I114" s="22" t="n"/>
      <x:c r="J114" s="22" t="n"/>
      <x:c r="K114" s="22" t="n"/>
      <x:c r="L114" s="22" t="n"/>
      <x:c r="M114" s="22" t="n"/>
      <x:c r="N114" s="22" t="n"/>
    </x:row>
    <x:row r="115">
      <x:c r="A115" s="22" t="n"/>
      <x:c r="B115" s="22" t="n"/>
      <x:c r="C115" s="22" t="n"/>
      <x:c r="D115" s="22" t="n"/>
      <x:c r="E115" s="23" t="n"/>
      <x:c r="F115" s="22" t="n"/>
      <x:c r="G115" s="22" t="n"/>
      <x:c r="H115" s="22" t="n"/>
      <x:c r="I115" s="22" t="n"/>
      <x:c r="J115" s="22" t="n"/>
      <x:c r="K115" s="22" t="n"/>
      <x:c r="L115" s="22" t="n"/>
      <x:c r="M115" s="22" t="n"/>
      <x:c r="N115" s="22" t="n"/>
    </x:row>
    <x:row r="116">
      <x:c r="A116" s="22" t="n"/>
      <x:c r="B116" s="22" t="n"/>
      <x:c r="C116" s="22" t="n"/>
      <x:c r="D116" s="22" t="n"/>
      <x:c r="E116" s="23" t="n"/>
      <x:c r="F116" s="22" t="n"/>
      <x:c r="G116" s="22" t="n"/>
      <x:c r="H116" s="22" t="n"/>
      <x:c r="I116" s="22" t="n"/>
      <x:c r="J116" s="22" t="n"/>
      <x:c r="K116" s="22" t="n"/>
      <x:c r="L116" s="22" t="n"/>
      <x:c r="M116" s="22" t="n"/>
      <x:c r="N116" s="22" t="n"/>
    </x:row>
    <x:row r="117">
      <x:c r="A117" s="22" t="n"/>
      <x:c r="B117" s="22" t="n"/>
      <x:c r="C117" s="22" t="n"/>
      <x:c r="D117" s="22" t="n"/>
      <x:c r="E117" s="23" t="n"/>
      <x:c r="F117" s="22" t="n"/>
      <x:c r="G117" s="22" t="n"/>
      <x:c r="H117" s="22" t="n"/>
      <x:c r="I117" s="22" t="n"/>
      <x:c r="J117" s="22" t="n"/>
      <x:c r="K117" s="22" t="n"/>
      <x:c r="L117" s="22" t="n"/>
      <x:c r="M117" s="22" t="n"/>
      <x:c r="N117" s="22" t="n"/>
    </x:row>
    <x:row r="118">
      <x:c r="A118" s="22" t="n"/>
      <x:c r="B118" s="22" t="n"/>
      <x:c r="C118" s="22" t="n"/>
      <x:c r="D118" s="22" t="n"/>
      <x:c r="E118" s="23" t="n"/>
      <x:c r="F118" s="22" t="n"/>
      <x:c r="G118" s="22" t="n"/>
      <x:c r="H118" s="22" t="n"/>
      <x:c r="I118" s="22" t="n"/>
      <x:c r="J118" s="22" t="n"/>
      <x:c r="K118" s="22" t="n"/>
      <x:c r="L118" s="22" t="n"/>
      <x:c r="M118" s="22" t="n"/>
      <x:c r="N118" s="22" t="n"/>
    </x:row>
    <x:row r="119">
      <x:c r="A119" s="22" t="n"/>
      <x:c r="B119" s="22" t="n"/>
      <x:c r="C119" s="22" t="n"/>
      <x:c r="D119" s="22" t="n"/>
      <x:c r="E119" s="23" t="n"/>
      <x:c r="F119" s="22" t="n"/>
      <x:c r="G119" s="22" t="n"/>
      <x:c r="H119" s="22" t="n"/>
      <x:c r="I119" s="22" t="n"/>
      <x:c r="J119" s="22" t="n"/>
      <x:c r="K119" s="22" t="n"/>
      <x:c r="L119" s="22" t="n"/>
      <x:c r="M119" s="22" t="n"/>
      <x:c r="N119" s="22" t="n"/>
    </x:row>
    <x:row r="120">
      <x:c r="A120" s="22" t="n"/>
      <x:c r="B120" s="22" t="n"/>
      <x:c r="C120" s="22" t="n"/>
      <x:c r="D120" s="22" t="n"/>
      <x:c r="E120" s="23" t="n"/>
      <x:c r="F120" s="22" t="n"/>
      <x:c r="G120" s="22" t="n"/>
      <x:c r="H120" s="22" t="n"/>
      <x:c r="I120" s="22" t="n"/>
      <x:c r="J120" s="22" t="n"/>
      <x:c r="K120" s="22" t="n"/>
      <x:c r="L120" s="22" t="n"/>
      <x:c r="M120" s="22" t="n"/>
      <x:c r="N120" s="22" t="n"/>
    </x:row>
    <x:row r="121">
      <x:c r="A121" s="22" t="n"/>
      <x:c r="B121" s="22" t="n"/>
      <x:c r="C121" s="22" t="n"/>
      <x:c r="D121" s="22" t="n"/>
      <x:c r="E121" s="23" t="n"/>
      <x:c r="F121" s="22" t="n"/>
      <x:c r="G121" s="22" t="n"/>
      <x:c r="H121" s="22" t="n"/>
      <x:c r="I121" s="22" t="n"/>
      <x:c r="J121" s="22" t="n"/>
      <x:c r="K121" s="22" t="n"/>
      <x:c r="L121" s="22" t="n"/>
      <x:c r="M121" s="22" t="n"/>
      <x:c r="N121" s="22" t="n"/>
    </x:row>
    <x:row r="122">
      <x:c r="A122" s="22" t="n"/>
      <x:c r="B122" s="22" t="n"/>
      <x:c r="C122" s="22" t="n"/>
      <x:c r="D122" s="22" t="n"/>
      <x:c r="E122" s="23" t="n"/>
      <x:c r="F122" s="22" t="n"/>
      <x:c r="G122" s="22" t="n"/>
      <x:c r="H122" s="22" t="n"/>
      <x:c r="I122" s="22" t="n"/>
      <x:c r="J122" s="22" t="n"/>
      <x:c r="K122" s="22" t="n"/>
      <x:c r="L122" s="22" t="n"/>
      <x:c r="M122" s="22" t="n"/>
      <x:c r="N122" s="22" t="n"/>
    </x:row>
    <x:row r="123">
      <x:c r="A123" s="22" t="n"/>
      <x:c r="B123" s="22" t="n"/>
      <x:c r="C123" s="22" t="n"/>
      <x:c r="D123" s="22" t="n"/>
      <x:c r="E123" s="23" t="n"/>
      <x:c r="F123" s="22" t="n"/>
      <x:c r="G123" s="22" t="n"/>
      <x:c r="H123" s="22" t="n"/>
      <x:c r="I123" s="22" t="n"/>
      <x:c r="J123" s="22" t="n"/>
      <x:c r="K123" s="22" t="n"/>
      <x:c r="L123" s="22" t="n"/>
      <x:c r="M123" s="22" t="n"/>
      <x:c r="N123" s="22" t="n"/>
    </x:row>
    <x:row r="124">
      <x:c r="A124" s="22" t="n"/>
      <x:c r="B124" s="22" t="n"/>
      <x:c r="C124" s="22" t="n"/>
      <x:c r="D124" s="22" t="n"/>
      <x:c r="E124" s="23" t="n"/>
      <x:c r="F124" s="22" t="n"/>
      <x:c r="G124" s="22" t="n"/>
      <x:c r="H124" s="22" t="n"/>
      <x:c r="I124" s="22" t="n"/>
      <x:c r="J124" s="22" t="n"/>
      <x:c r="K124" s="22" t="n"/>
      <x:c r="L124" s="22" t="n"/>
      <x:c r="M124" s="22" t="n"/>
      <x:c r="N124" s="22" t="n"/>
    </x:row>
    <x:row r="125">
      <x:c r="A125" s="22" t="n"/>
      <x:c r="B125" s="22" t="n"/>
      <x:c r="C125" s="22" t="n"/>
      <x:c r="D125" s="22" t="n"/>
      <x:c r="E125" s="23" t="n"/>
      <x:c r="F125" s="22" t="n"/>
      <x:c r="G125" s="22" t="n"/>
      <x:c r="H125" s="22" t="n"/>
      <x:c r="I125" s="22" t="n"/>
      <x:c r="J125" s="22" t="n"/>
      <x:c r="K125" s="22" t="n"/>
      <x:c r="L125" s="22" t="n"/>
      <x:c r="M125" s="22" t="n"/>
      <x:c r="N125" s="22" t="n"/>
    </x:row>
    <x:row r="126">
      <x:c r="A126" s="22" t="n"/>
      <x:c r="B126" s="22" t="n"/>
      <x:c r="C126" s="22" t="n"/>
      <x:c r="D126" s="22" t="n"/>
      <x:c r="E126" s="23" t="n"/>
      <x:c r="F126" s="22" t="n"/>
      <x:c r="G126" s="22" t="n"/>
      <x:c r="H126" s="22" t="n"/>
      <x:c r="I126" s="22" t="n"/>
      <x:c r="J126" s="22" t="n"/>
      <x:c r="K126" s="22" t="n"/>
      <x:c r="L126" s="22" t="n"/>
      <x:c r="M126" s="22" t="n"/>
      <x:c r="N126" s="22" t="n"/>
    </x:row>
    <x:row r="127">
      <x:c r="A127" s="22" t="n"/>
      <x:c r="B127" s="22" t="n"/>
      <x:c r="C127" s="22" t="n"/>
      <x:c r="D127" s="22" t="n"/>
      <x:c r="E127" s="23" t="n"/>
      <x:c r="F127" s="22" t="n"/>
      <x:c r="G127" s="22" t="n"/>
      <x:c r="H127" s="22" t="n"/>
      <x:c r="I127" s="22" t="n"/>
      <x:c r="J127" s="22" t="n"/>
      <x:c r="K127" s="22" t="n"/>
      <x:c r="L127" s="22" t="n"/>
      <x:c r="M127" s="22" t="n"/>
      <x:c r="N127" s="22" t="n"/>
    </x:row>
    <x:row r="128">
      <x:c r="A128" s="22" t="n"/>
      <x:c r="B128" s="22" t="n"/>
      <x:c r="C128" s="22" t="n"/>
      <x:c r="D128" s="22" t="n"/>
      <x:c r="E128" s="23" t="n"/>
      <x:c r="F128" s="22" t="n"/>
      <x:c r="G128" s="22" t="n"/>
      <x:c r="H128" s="22" t="n"/>
      <x:c r="I128" s="22" t="n"/>
      <x:c r="J128" s="22" t="n"/>
      <x:c r="K128" s="22" t="n"/>
      <x:c r="L128" s="22" t="n"/>
      <x:c r="M128" s="22" t="n"/>
      <x:c r="N128" s="22" t="n"/>
    </x:row>
    <x:row r="129">
      <x:c r="A129" s="22" t="n"/>
      <x:c r="B129" s="22" t="n"/>
      <x:c r="C129" s="22" t="n"/>
      <x:c r="D129" s="22" t="n"/>
      <x:c r="E129" s="23" t="n"/>
      <x:c r="F129" s="22" t="n"/>
      <x:c r="G129" s="22" t="n"/>
      <x:c r="H129" s="22" t="n"/>
      <x:c r="I129" s="22" t="n"/>
      <x:c r="J129" s="22" t="n"/>
      <x:c r="K129" s="22" t="n"/>
      <x:c r="L129" s="22" t="n"/>
      <x:c r="M129" s="22" t="n"/>
      <x:c r="N129" s="22" t="n"/>
    </x:row>
    <x:row r="130">
      <x:c r="A130" s="22" t="n"/>
      <x:c r="B130" s="22" t="n"/>
      <x:c r="C130" s="22" t="n"/>
      <x:c r="D130" s="22" t="n"/>
      <x:c r="E130" s="23" t="n"/>
      <x:c r="F130" s="22" t="n"/>
      <x:c r="G130" s="22" t="n"/>
      <x:c r="H130" s="22" t="n"/>
      <x:c r="I130" s="22" t="n"/>
      <x:c r="J130" s="22" t="n"/>
      <x:c r="K130" s="22" t="n"/>
      <x:c r="L130" s="22" t="n"/>
      <x:c r="M130" s="22" t="n"/>
      <x:c r="N130" s="22" t="n"/>
    </x:row>
    <x:row r="131">
      <x:c r="A131" s="22" t="n"/>
      <x:c r="B131" s="22" t="n"/>
      <x:c r="C131" s="22" t="n"/>
      <x:c r="D131" s="22" t="n"/>
      <x:c r="E131" s="23" t="n"/>
      <x:c r="F131" s="22" t="n"/>
      <x:c r="G131" s="22" t="n"/>
      <x:c r="H131" s="22" t="n"/>
      <x:c r="I131" s="22" t="n"/>
      <x:c r="J131" s="22" t="n"/>
      <x:c r="K131" s="22" t="n"/>
      <x:c r="L131" s="22" t="n"/>
      <x:c r="M131" s="22" t="n"/>
      <x:c r="N131" s="22" t="n"/>
    </x:row>
    <x:row r="132">
      <x:c r="A132" s="22" t="n"/>
      <x:c r="B132" s="22" t="n"/>
      <x:c r="C132" s="22" t="n"/>
      <x:c r="D132" s="22" t="n"/>
      <x:c r="E132" s="23" t="n"/>
      <x:c r="F132" s="22" t="n"/>
      <x:c r="G132" s="22" t="n"/>
      <x:c r="H132" s="22" t="n"/>
      <x:c r="I132" s="22" t="n"/>
      <x:c r="J132" s="22" t="n"/>
      <x:c r="K132" s="22" t="n"/>
      <x:c r="L132" s="22" t="n"/>
      <x:c r="M132" s="22" t="n"/>
      <x:c r="N132" s="22" t="n"/>
    </x:row>
    <x:row r="133">
      <x:c r="A133" s="22" t="n"/>
      <x:c r="B133" s="22" t="n"/>
      <x:c r="C133" s="22" t="n"/>
      <x:c r="D133" s="22" t="n"/>
      <x:c r="E133" s="23" t="n"/>
      <x:c r="F133" s="22" t="n"/>
      <x:c r="G133" s="22" t="n"/>
      <x:c r="H133" s="22" t="n"/>
      <x:c r="I133" s="22" t="n"/>
      <x:c r="J133" s="22" t="n"/>
      <x:c r="K133" s="22" t="n"/>
      <x:c r="L133" s="22" t="n"/>
      <x:c r="M133" s="22" t="n"/>
      <x:c r="N133" s="22" t="n"/>
    </x:row>
    <x:row r="134">
      <x:c r="A134" s="22" t="n"/>
      <x:c r="B134" s="22" t="n"/>
      <x:c r="C134" s="22" t="n"/>
      <x:c r="D134" s="22" t="n"/>
      <x:c r="E134" s="23" t="n"/>
      <x:c r="F134" s="22" t="n"/>
      <x:c r="G134" s="22" t="n"/>
      <x:c r="H134" s="22" t="n"/>
      <x:c r="I134" s="22" t="n"/>
      <x:c r="J134" s="22" t="n"/>
      <x:c r="K134" s="22" t="n"/>
      <x:c r="L134" s="22" t="n"/>
      <x:c r="M134" s="22" t="n"/>
      <x:c r="N134" s="22" t="n"/>
    </x:row>
    <x:row r="135">
      <x:c r="A135" s="22" t="n"/>
      <x:c r="B135" s="22" t="n"/>
      <x:c r="C135" s="22" t="n"/>
      <x:c r="D135" s="22" t="n"/>
      <x:c r="E135" s="23" t="n"/>
      <x:c r="F135" s="22" t="n"/>
      <x:c r="G135" s="22" t="n"/>
      <x:c r="H135" s="22" t="n"/>
      <x:c r="I135" s="22" t="n"/>
      <x:c r="J135" s="22" t="n"/>
      <x:c r="K135" s="22" t="n"/>
      <x:c r="L135" s="22" t="n"/>
      <x:c r="M135" s="22" t="n"/>
      <x:c r="N135" s="22" t="n"/>
    </x:row>
    <x:row r="136">
      <x:c r="A136" s="22" t="n"/>
      <x:c r="B136" s="22" t="n"/>
      <x:c r="C136" s="22" t="n"/>
      <x:c r="D136" s="22" t="n"/>
      <x:c r="E136" s="23" t="n"/>
      <x:c r="F136" s="22" t="n"/>
      <x:c r="G136" s="22" t="n"/>
      <x:c r="H136" s="22" t="n"/>
      <x:c r="I136" s="22" t="n"/>
      <x:c r="J136" s="22" t="n"/>
      <x:c r="K136" s="22" t="n"/>
      <x:c r="L136" s="22" t="n"/>
      <x:c r="M136" s="22" t="n"/>
      <x:c r="N136" s="22" t="n"/>
    </x:row>
    <x:row r="137">
      <x:c r="A137" s="22" t="n"/>
      <x:c r="B137" s="22" t="n"/>
      <x:c r="C137" s="22" t="n"/>
      <x:c r="D137" s="22" t="n"/>
      <x:c r="E137" s="23" t="n"/>
      <x:c r="F137" s="22" t="n"/>
      <x:c r="G137" s="22" t="n"/>
      <x:c r="H137" s="22" t="n"/>
      <x:c r="I137" s="22" t="n"/>
      <x:c r="J137" s="22" t="n"/>
      <x:c r="K137" s="22" t="n"/>
      <x:c r="L137" s="22" t="n"/>
      <x:c r="M137" s="22" t="n"/>
      <x:c r="N137" s="22" t="n"/>
    </x:row>
    <x:row r="138">
      <x:c r="A138" s="22" t="n"/>
      <x:c r="B138" s="22" t="n"/>
      <x:c r="C138" s="22" t="n"/>
      <x:c r="D138" s="22" t="n"/>
      <x:c r="E138" s="23" t="n"/>
      <x:c r="F138" s="22" t="n"/>
      <x:c r="G138" s="22" t="n"/>
      <x:c r="H138" s="22" t="n"/>
      <x:c r="I138" s="22" t="n"/>
      <x:c r="J138" s="22" t="n"/>
      <x:c r="K138" s="22" t="n"/>
      <x:c r="L138" s="22" t="n"/>
      <x:c r="M138" s="22" t="n"/>
      <x:c r="N138" s="22" t="n"/>
    </x:row>
    <x:row r="139">
      <x:c r="A139" s="22" t="n"/>
      <x:c r="B139" s="22" t="n"/>
      <x:c r="C139" s="22" t="n"/>
      <x:c r="D139" s="22" t="n"/>
      <x:c r="E139" s="23" t="n"/>
      <x:c r="F139" s="22" t="n"/>
      <x:c r="G139" s="22" t="n"/>
      <x:c r="H139" s="22" t="n"/>
      <x:c r="I139" s="22" t="n"/>
      <x:c r="J139" s="22" t="n"/>
      <x:c r="K139" s="22" t="n"/>
      <x:c r="L139" s="22" t="n"/>
      <x:c r="M139" s="22" t="n"/>
      <x:c r="N139" s="22" t="n"/>
    </x:row>
    <x:row r="140">
      <x:c r="A140" s="22" t="n"/>
      <x:c r="B140" s="22" t="n"/>
      <x:c r="C140" s="22" t="n"/>
      <x:c r="D140" s="22" t="n"/>
      <x:c r="E140" s="23" t="n"/>
      <x:c r="F140" s="22" t="n"/>
      <x:c r="G140" s="22" t="n"/>
      <x:c r="H140" s="22" t="n"/>
      <x:c r="I140" s="22" t="n"/>
      <x:c r="J140" s="22" t="n"/>
      <x:c r="K140" s="22" t="n"/>
      <x:c r="L140" s="22" t="n"/>
      <x:c r="M140" s="22" t="n"/>
      <x:c r="N140" s="22" t="n"/>
    </x:row>
    <x:row r="141">
      <x:c r="A141" s="22" t="n"/>
      <x:c r="B141" s="22" t="n"/>
      <x:c r="C141" s="22" t="n"/>
      <x:c r="D141" s="22" t="n"/>
      <x:c r="E141" s="23" t="n"/>
      <x:c r="F141" s="22" t="n"/>
      <x:c r="G141" s="22" t="n"/>
      <x:c r="H141" s="22" t="n"/>
      <x:c r="I141" s="22" t="n"/>
      <x:c r="J141" s="22" t="n"/>
      <x:c r="K141" s="22" t="n"/>
      <x:c r="L141" s="22" t="n"/>
      <x:c r="M141" s="22" t="n"/>
      <x:c r="N141" s="22" t="n"/>
    </x:row>
    <x:row r="142">
      <x:c r="A142" s="22" t="n"/>
      <x:c r="B142" s="22" t="n"/>
      <x:c r="C142" s="22" t="n"/>
      <x:c r="D142" s="22" t="n"/>
      <x:c r="E142" s="23" t="n"/>
      <x:c r="F142" s="22" t="n"/>
      <x:c r="G142" s="22" t="n"/>
      <x:c r="H142" s="22" t="n"/>
      <x:c r="I142" s="22" t="n"/>
      <x:c r="J142" s="22" t="n"/>
      <x:c r="K142" s="22" t="n"/>
      <x:c r="L142" s="22" t="n"/>
      <x:c r="M142" s="22" t="n"/>
      <x:c r="N142" s="22" t="n"/>
    </x:row>
    <x:row r="143">
      <x:c r="A143" s="22" t="n"/>
      <x:c r="B143" s="22" t="n"/>
      <x:c r="C143" s="22" t="n"/>
      <x:c r="D143" s="22" t="n"/>
      <x:c r="E143" s="23" t="n"/>
      <x:c r="F143" s="22" t="n"/>
      <x:c r="G143" s="22" t="n"/>
      <x:c r="H143" s="22" t="n"/>
      <x:c r="I143" s="22" t="n"/>
      <x:c r="J143" s="22" t="n"/>
      <x:c r="K143" s="22" t="n"/>
      <x:c r="L143" s="22" t="n"/>
      <x:c r="M143" s="22" t="n"/>
      <x:c r="N143" s="22" t="n"/>
    </x:row>
    <x:row r="144">
      <x:c r="A144" s="22" t="n"/>
      <x:c r="B144" s="22" t="n"/>
      <x:c r="C144" s="22" t="n"/>
      <x:c r="D144" s="22" t="n"/>
      <x:c r="E144" s="23" t="n"/>
      <x:c r="F144" s="22" t="n"/>
      <x:c r="G144" s="22" t="n"/>
      <x:c r="H144" s="22" t="n"/>
      <x:c r="I144" s="22" t="n"/>
      <x:c r="J144" s="22" t="n"/>
      <x:c r="K144" s="22" t="n"/>
      <x:c r="L144" s="22" t="n"/>
      <x:c r="M144" s="22" t="n"/>
      <x:c r="N144" s="22" t="n"/>
    </x:row>
    <x:row r="145">
      <x:c r="A145" s="22" t="n"/>
      <x:c r="B145" s="22" t="n"/>
      <x:c r="C145" s="22" t="n"/>
      <x:c r="D145" s="22" t="n"/>
      <x:c r="E145" s="23" t="n"/>
      <x:c r="F145" s="22" t="n"/>
      <x:c r="G145" s="22" t="n"/>
      <x:c r="H145" s="22" t="n"/>
      <x:c r="I145" s="22" t="n"/>
      <x:c r="J145" s="22" t="n"/>
      <x:c r="K145" s="22" t="n"/>
      <x:c r="L145" s="22" t="n"/>
      <x:c r="M145" s="22" t="n"/>
      <x:c r="N145" s="22" t="n"/>
    </x:row>
    <x:row r="146">
      <x:c r="A146" s="22" t="n"/>
      <x:c r="B146" s="22" t="n"/>
      <x:c r="C146" s="22" t="n"/>
      <x:c r="D146" s="22" t="n"/>
      <x:c r="E146" s="23" t="n"/>
      <x:c r="F146" s="22" t="n"/>
      <x:c r="G146" s="22" t="n"/>
      <x:c r="H146" s="22" t="n"/>
      <x:c r="I146" s="22" t="n"/>
      <x:c r="J146" s="22" t="n"/>
      <x:c r="K146" s="22" t="n"/>
      <x:c r="L146" s="22" t="n"/>
      <x:c r="M146" s="22" t="n"/>
      <x:c r="N146" s="22" t="n"/>
    </x:row>
    <x:row r="147">
      <x:c r="A147" s="22" t="n"/>
      <x:c r="B147" s="22" t="n"/>
      <x:c r="C147" s="22" t="n"/>
      <x:c r="D147" s="22" t="n"/>
      <x:c r="E147" s="23" t="n"/>
      <x:c r="F147" s="22" t="n"/>
      <x:c r="G147" s="22" t="n"/>
      <x:c r="H147" s="22" t="n"/>
      <x:c r="I147" s="22" t="n"/>
      <x:c r="J147" s="22" t="n"/>
      <x:c r="K147" s="22" t="n"/>
      <x:c r="L147" s="22" t="n"/>
      <x:c r="M147" s="22" t="n"/>
      <x:c r="N147" s="22" t="n"/>
    </x:row>
    <x:row r="148">
      <x:c r="A148" s="22" t="n"/>
      <x:c r="B148" s="22" t="n"/>
      <x:c r="C148" s="22" t="n"/>
      <x:c r="D148" s="22" t="n"/>
      <x:c r="E148" s="23" t="n"/>
      <x:c r="F148" s="22" t="n"/>
      <x:c r="G148" s="22" t="n"/>
      <x:c r="H148" s="22" t="n"/>
      <x:c r="I148" s="22" t="n"/>
      <x:c r="J148" s="22" t="n"/>
      <x:c r="K148" s="22" t="n"/>
      <x:c r="L148" s="22" t="n"/>
      <x:c r="M148" s="22" t="n"/>
      <x:c r="N148" s="22" t="n"/>
    </x:row>
    <x:row r="149">
      <x:c r="A149" s="22" t="n"/>
      <x:c r="B149" s="22" t="n"/>
      <x:c r="C149" s="22" t="n"/>
      <x:c r="D149" s="22" t="n"/>
      <x:c r="E149" s="23" t="n"/>
      <x:c r="F149" s="22" t="n"/>
      <x:c r="G149" s="22" t="n"/>
      <x:c r="H149" s="22" t="n"/>
      <x:c r="I149" s="22" t="n"/>
      <x:c r="J149" s="22" t="n"/>
      <x:c r="K149" s="22" t="n"/>
      <x:c r="L149" s="22" t="n"/>
      <x:c r="M149" s="22" t="n"/>
      <x:c r="N149" s="22" t="n"/>
    </x:row>
    <x:row r="150">
      <x:c r="A150" s="22" t="n"/>
      <x:c r="B150" s="22" t="n"/>
      <x:c r="C150" s="22" t="n"/>
      <x:c r="D150" s="22" t="n"/>
      <x:c r="E150" s="23" t="n"/>
      <x:c r="F150" s="22" t="n"/>
      <x:c r="G150" s="22" t="n"/>
      <x:c r="H150" s="22" t="n"/>
      <x:c r="I150" s="22" t="n"/>
      <x:c r="J150" s="22" t="n"/>
      <x:c r="K150" s="22" t="n"/>
      <x:c r="L150" s="22" t="n"/>
      <x:c r="M150" s="22" t="n"/>
      <x:c r="N150" s="22" t="n"/>
    </x:row>
    <x:row r="151">
      <x:c r="A151" s="22" t="n"/>
      <x:c r="B151" s="22" t="n"/>
      <x:c r="C151" s="22" t="n"/>
      <x:c r="D151" s="22" t="n"/>
      <x:c r="E151" s="23" t="n"/>
      <x:c r="F151" s="22" t="n"/>
      <x:c r="G151" s="22" t="n"/>
      <x:c r="H151" s="22" t="n"/>
      <x:c r="I151" s="22" t="n"/>
      <x:c r="J151" s="22" t="n"/>
      <x:c r="K151" s="22" t="n"/>
      <x:c r="L151" s="22" t="n"/>
      <x:c r="M151" s="22" t="n"/>
      <x:c r="N151" s="22" t="n"/>
    </x:row>
    <x:row r="152">
      <x:c r="A152" s="22" t="n"/>
      <x:c r="B152" s="22" t="n"/>
      <x:c r="C152" s="22" t="n"/>
      <x:c r="D152" s="22" t="n"/>
      <x:c r="E152" s="23" t="n"/>
      <x:c r="F152" s="22" t="n"/>
      <x:c r="G152" s="22" t="n"/>
      <x:c r="H152" s="22" t="n"/>
      <x:c r="I152" s="22" t="n"/>
      <x:c r="J152" s="22" t="n"/>
      <x:c r="K152" s="22" t="n"/>
      <x:c r="L152" s="22" t="n"/>
      <x:c r="M152" s="22" t="n"/>
      <x:c r="N152" s="22" t="n"/>
    </x:row>
    <x:row r="153">
      <x:c r="A153" s="22" t="n"/>
      <x:c r="B153" s="22" t="n"/>
      <x:c r="C153" s="22" t="n"/>
      <x:c r="D153" s="22" t="n"/>
      <x:c r="E153" s="23" t="n"/>
      <x:c r="F153" s="22" t="n"/>
      <x:c r="G153" s="22" t="n"/>
      <x:c r="H153" s="22" t="n"/>
      <x:c r="I153" s="22" t="n"/>
      <x:c r="J153" s="22" t="n"/>
      <x:c r="K153" s="22" t="n"/>
      <x:c r="L153" s="22" t="n"/>
      <x:c r="M153" s="22" t="n"/>
      <x:c r="N153" s="22" t="n"/>
    </x:row>
    <x:row r="154">
      <x:c r="A154" s="22" t="n"/>
      <x:c r="B154" s="22" t="n"/>
      <x:c r="C154" s="22" t="n"/>
      <x:c r="D154" s="22" t="n"/>
      <x:c r="E154" s="23" t="n"/>
      <x:c r="F154" s="22" t="n"/>
      <x:c r="G154" s="22" t="n"/>
      <x:c r="H154" s="22" t="n"/>
      <x:c r="I154" s="22" t="n"/>
      <x:c r="J154" s="22" t="n"/>
      <x:c r="K154" s="22" t="n"/>
      <x:c r="L154" s="22" t="n"/>
      <x:c r="M154" s="22" t="n"/>
      <x:c r="N154" s="22" t="n"/>
    </x:row>
    <x:row r="155">
      <x:c r="A155" s="22" t="n"/>
      <x:c r="B155" s="22" t="n"/>
      <x:c r="C155" s="22" t="n"/>
      <x:c r="D155" s="22" t="n"/>
      <x:c r="E155" s="23" t="n"/>
      <x:c r="F155" s="22" t="n"/>
      <x:c r="G155" s="22" t="n"/>
      <x:c r="H155" s="22" t="n"/>
      <x:c r="I155" s="22" t="n"/>
      <x:c r="J155" s="22" t="n"/>
      <x:c r="K155" s="22" t="n"/>
      <x:c r="L155" s="22" t="n"/>
      <x:c r="M155" s="22" t="n"/>
      <x:c r="N155" s="22" t="n"/>
    </x:row>
    <x:row r="156">
      <x:c r="A156" s="22" t="n"/>
      <x:c r="B156" s="22" t="n"/>
      <x:c r="C156" s="22" t="n"/>
      <x:c r="D156" s="22" t="n"/>
      <x:c r="E156" s="23" t="n"/>
      <x:c r="F156" s="22" t="n"/>
      <x:c r="G156" s="22" t="n"/>
      <x:c r="H156" s="22" t="n"/>
      <x:c r="I156" s="22" t="n"/>
      <x:c r="J156" s="22" t="n"/>
      <x:c r="K156" s="22" t="n"/>
      <x:c r="L156" s="22" t="n"/>
      <x:c r="M156" s="22" t="n"/>
      <x:c r="N156" s="22" t="n"/>
    </x:row>
    <x:row r="157">
      <x:c r="A157" s="22" t="n"/>
      <x:c r="B157" s="22" t="n"/>
      <x:c r="C157" s="22" t="n"/>
      <x:c r="D157" s="22" t="n"/>
      <x:c r="E157" s="23" t="n"/>
      <x:c r="F157" s="22" t="n"/>
      <x:c r="G157" s="22" t="n"/>
      <x:c r="H157" s="22" t="n"/>
      <x:c r="I157" s="22" t="n"/>
      <x:c r="J157" s="22" t="n"/>
      <x:c r="K157" s="22" t="n"/>
      <x:c r="L157" s="22" t="n"/>
      <x:c r="M157" s="22" t="n"/>
      <x:c r="N157" s="22" t="n"/>
    </x:row>
    <x:row r="158">
      <x:c r="A158" s="22" t="n"/>
      <x:c r="B158" s="22" t="n"/>
      <x:c r="C158" s="22" t="n"/>
      <x:c r="D158" s="22" t="n"/>
      <x:c r="E158" s="23" t="n"/>
      <x:c r="F158" s="22" t="n"/>
      <x:c r="G158" s="22" t="n"/>
      <x:c r="H158" s="22" t="n"/>
      <x:c r="I158" s="22" t="n"/>
      <x:c r="J158" s="22" t="n"/>
      <x:c r="K158" s="22" t="n"/>
      <x:c r="L158" s="22" t="n"/>
      <x:c r="M158" s="22" t="n"/>
      <x:c r="N158" s="22" t="n"/>
    </x:row>
    <x:row r="159">
      <x:c r="A159" s="22" t="n"/>
      <x:c r="B159" s="22" t="n"/>
      <x:c r="C159" s="22" t="n"/>
      <x:c r="D159" s="22" t="n"/>
      <x:c r="E159" s="23" t="n"/>
      <x:c r="F159" s="22" t="n"/>
      <x:c r="G159" s="22" t="n"/>
      <x:c r="H159" s="22" t="n"/>
      <x:c r="I159" s="22" t="n"/>
      <x:c r="J159" s="22" t="n"/>
      <x:c r="K159" s="22" t="n"/>
      <x:c r="L159" s="22" t="n"/>
      <x:c r="M159" s="22" t="n"/>
      <x:c r="N159" s="22" t="n"/>
    </x:row>
    <x:row r="160">
      <x:c r="A160" s="22" t="n"/>
      <x:c r="B160" s="22" t="n"/>
      <x:c r="C160" s="22" t="n"/>
      <x:c r="D160" s="22" t="n"/>
      <x:c r="E160" s="23" t="n"/>
      <x:c r="F160" s="22" t="n"/>
      <x:c r="G160" s="22" t="n"/>
      <x:c r="H160" s="22" t="n"/>
      <x:c r="I160" s="22" t="n"/>
      <x:c r="J160" s="22" t="n"/>
      <x:c r="K160" s="22" t="n"/>
      <x:c r="L160" s="22" t="n"/>
      <x:c r="M160" s="22" t="n"/>
      <x:c r="N160" s="22" t="n"/>
    </x:row>
    <x:row r="161">
      <x:c r="A161" s="22" t="n"/>
      <x:c r="B161" s="22" t="n"/>
      <x:c r="C161" s="22" t="n"/>
      <x:c r="D161" s="22" t="n"/>
      <x:c r="E161" s="23" t="n"/>
      <x:c r="F161" s="22" t="n"/>
      <x:c r="G161" s="22" t="n"/>
      <x:c r="H161" s="22" t="n"/>
      <x:c r="I161" s="22" t="n"/>
      <x:c r="J161" s="22" t="n"/>
      <x:c r="K161" s="22" t="n"/>
      <x:c r="L161" s="22" t="n"/>
      <x:c r="M161" s="22" t="n"/>
      <x:c r="N161" s="22" t="n"/>
    </x:row>
    <x:row r="162">
      <x:c r="A162" s="22" t="n"/>
      <x:c r="B162" s="22" t="n"/>
      <x:c r="C162" s="22" t="n"/>
      <x:c r="D162" s="22" t="n"/>
      <x:c r="E162" s="23" t="n"/>
      <x:c r="F162" s="22" t="n"/>
      <x:c r="G162" s="22" t="n"/>
      <x:c r="H162" s="22" t="n"/>
      <x:c r="I162" s="22" t="n"/>
      <x:c r="J162" s="22" t="n"/>
      <x:c r="K162" s="22" t="n"/>
      <x:c r="L162" s="22" t="n"/>
      <x:c r="M162" s="22" t="n"/>
      <x:c r="N162" s="22" t="n"/>
    </x:row>
    <x:row r="163">
      <x:c r="A163" s="22" t="n"/>
      <x:c r="B163" s="22" t="n"/>
      <x:c r="C163" s="22" t="n"/>
      <x:c r="D163" s="22" t="n"/>
      <x:c r="E163" s="23" t="n"/>
      <x:c r="F163" s="22" t="n"/>
      <x:c r="G163" s="22" t="n"/>
      <x:c r="H163" s="22" t="n"/>
      <x:c r="I163" s="22" t="n"/>
      <x:c r="J163" s="22" t="n"/>
      <x:c r="K163" s="22" t="n"/>
      <x:c r="L163" s="22" t="n"/>
      <x:c r="M163" s="22" t="n"/>
      <x:c r="N163" s="22" t="n"/>
    </x:row>
    <x:row r="164">
      <x:c r="A164" s="22" t="n"/>
      <x:c r="B164" s="22" t="n"/>
      <x:c r="C164" s="22" t="n"/>
      <x:c r="D164" s="22" t="n"/>
      <x:c r="E164" s="23" t="n"/>
      <x:c r="F164" s="22" t="n"/>
      <x:c r="G164" s="22" t="n"/>
      <x:c r="H164" s="22" t="n"/>
      <x:c r="I164" s="22" t="n"/>
      <x:c r="J164" s="22" t="n"/>
      <x:c r="K164" s="22" t="n"/>
      <x:c r="L164" s="22" t="n"/>
      <x:c r="M164" s="22" t="n"/>
      <x:c r="N164" s="22" t="n"/>
    </x:row>
    <x:row r="165">
      <x:c r="A165" s="22" t="n"/>
      <x:c r="B165" s="22" t="n"/>
      <x:c r="C165" s="22" t="n"/>
      <x:c r="D165" s="22" t="n"/>
      <x:c r="E165" s="23" t="n"/>
      <x:c r="F165" s="22" t="n"/>
      <x:c r="G165" s="22" t="n"/>
      <x:c r="H165" s="22" t="n"/>
      <x:c r="I165" s="22" t="n"/>
      <x:c r="J165" s="22" t="n"/>
      <x:c r="K165" s="22" t="n"/>
      <x:c r="L165" s="22" t="n"/>
      <x:c r="M165" s="22" t="n"/>
      <x:c r="N165" s="22" t="n"/>
    </x:row>
    <x:row r="166">
      <x:c r="A166" s="22" t="n"/>
      <x:c r="B166" s="22" t="n"/>
      <x:c r="C166" s="22" t="n"/>
      <x:c r="D166" s="22" t="n"/>
      <x:c r="E166" s="23" t="n"/>
      <x:c r="F166" s="22" t="n"/>
      <x:c r="G166" s="22" t="n"/>
      <x:c r="H166" s="22" t="n"/>
      <x:c r="I166" s="22" t="n"/>
      <x:c r="J166" s="22" t="n"/>
      <x:c r="K166" s="22" t="n"/>
      <x:c r="L166" s="22" t="n"/>
      <x:c r="M166" s="22" t="n"/>
      <x:c r="N166" s="22" t="n"/>
    </x:row>
    <x:row r="167">
      <x:c r="A167" s="22" t="n"/>
      <x:c r="B167" s="22" t="n"/>
      <x:c r="C167" s="22" t="n"/>
      <x:c r="D167" s="22" t="n"/>
      <x:c r="E167" s="23" t="n"/>
      <x:c r="F167" s="22" t="n"/>
      <x:c r="G167" s="22" t="n"/>
      <x:c r="H167" s="22" t="n"/>
      <x:c r="I167" s="22" t="n"/>
      <x:c r="J167" s="22" t="n"/>
      <x:c r="K167" s="22" t="n"/>
      <x:c r="L167" s="22" t="n"/>
      <x:c r="M167" s="22" t="n"/>
      <x:c r="N167" s="22" t="n"/>
    </x:row>
    <x:row r="168">
      <x:c r="A168" s="22" t="n"/>
      <x:c r="B168" s="22" t="n"/>
      <x:c r="C168" s="22" t="n"/>
      <x:c r="D168" s="22" t="n"/>
      <x:c r="E168" s="23" t="n"/>
      <x:c r="F168" s="22" t="n"/>
      <x:c r="G168" s="22" t="n"/>
      <x:c r="H168" s="22" t="n"/>
      <x:c r="I168" s="22" t="n"/>
      <x:c r="J168" s="22" t="n"/>
      <x:c r="K168" s="22" t="n"/>
      <x:c r="L168" s="22" t="n"/>
      <x:c r="M168" s="22" t="n"/>
      <x:c r="N168" s="22" t="n"/>
    </x:row>
    <x:row r="169">
      <x:c r="A169" s="22" t="n"/>
      <x:c r="B169" s="22" t="n"/>
      <x:c r="C169" s="22" t="n"/>
      <x:c r="D169" s="22" t="n"/>
      <x:c r="E169" s="23" t="n"/>
      <x:c r="F169" s="22" t="n"/>
      <x:c r="G169" s="22" t="n"/>
      <x:c r="H169" s="22" t="n"/>
      <x:c r="I169" s="22" t="n"/>
      <x:c r="J169" s="22" t="n"/>
      <x:c r="K169" s="22" t="n"/>
      <x:c r="L169" s="22" t="n"/>
      <x:c r="M169" s="22" t="n"/>
      <x:c r="N169" s="22" t="n"/>
    </x:row>
    <x:row r="170">
      <x:c r="A170" s="22" t="n"/>
      <x:c r="B170" s="22" t="n"/>
      <x:c r="C170" s="22" t="n"/>
      <x:c r="D170" s="22" t="n"/>
      <x:c r="E170" s="23" t="n"/>
      <x:c r="F170" s="22" t="n"/>
      <x:c r="G170" s="22" t="n"/>
      <x:c r="H170" s="22" t="n"/>
      <x:c r="I170" s="22" t="n"/>
      <x:c r="J170" s="22" t="n"/>
      <x:c r="K170" s="22" t="n"/>
      <x:c r="L170" s="22" t="n"/>
      <x:c r="M170" s="22" t="n"/>
      <x:c r="N170" s="22" t="n"/>
    </x:row>
    <x:row r="171">
      <x:c r="A171" s="22" t="n"/>
      <x:c r="B171" s="22" t="n"/>
      <x:c r="C171" s="22" t="n"/>
      <x:c r="D171" s="22" t="n"/>
      <x:c r="E171" s="23" t="n"/>
      <x:c r="F171" s="22" t="n"/>
      <x:c r="G171" s="22" t="n"/>
      <x:c r="H171" s="22" t="n"/>
      <x:c r="I171" s="22" t="n"/>
      <x:c r="J171" s="22" t="n"/>
      <x:c r="K171" s="22" t="n"/>
      <x:c r="L171" s="22" t="n"/>
      <x:c r="M171" s="22" t="n"/>
      <x:c r="N171" s="22" t="n"/>
    </x:row>
    <x:row r="172">
      <x:c r="A172" s="22" t="n"/>
      <x:c r="B172" s="22" t="n"/>
      <x:c r="C172" s="22" t="n"/>
      <x:c r="D172" s="22" t="n"/>
      <x:c r="E172" s="23" t="n"/>
      <x:c r="F172" s="22" t="n"/>
      <x:c r="G172" s="22" t="n"/>
      <x:c r="H172" s="22" t="n"/>
      <x:c r="I172" s="22" t="n"/>
      <x:c r="J172" s="22" t="n"/>
      <x:c r="K172" s="22" t="n"/>
      <x:c r="L172" s="22" t="n"/>
      <x:c r="M172" s="22" t="n"/>
      <x:c r="N172" s="22" t="n"/>
    </x:row>
    <x:row r="173">
      <x:c r="A173" s="22" t="n"/>
      <x:c r="B173" s="22" t="n"/>
      <x:c r="C173" s="22" t="n"/>
      <x:c r="D173" s="22" t="n"/>
      <x:c r="E173" s="23" t="n"/>
      <x:c r="F173" s="22" t="n"/>
      <x:c r="G173" s="22" t="n"/>
      <x:c r="H173" s="22" t="n"/>
      <x:c r="I173" s="22" t="n"/>
      <x:c r="J173" s="22" t="n"/>
      <x:c r="K173" s="22" t="n"/>
      <x:c r="L173" s="22" t="n"/>
      <x:c r="M173" s="22" t="n"/>
      <x:c r="N173" s="22" t="n"/>
    </x:row>
    <x:row r="174">
      <x:c r="A174" s="22" t="n"/>
      <x:c r="B174" s="22" t="n"/>
      <x:c r="C174" s="22" t="n"/>
      <x:c r="D174" s="22" t="n"/>
      <x:c r="E174" s="23" t="n"/>
      <x:c r="F174" s="22" t="n"/>
      <x:c r="G174" s="22" t="n"/>
      <x:c r="H174" s="22" t="n"/>
      <x:c r="I174" s="22" t="n"/>
      <x:c r="J174" s="22" t="n"/>
      <x:c r="K174" s="22" t="n"/>
      <x:c r="L174" s="22" t="n"/>
      <x:c r="M174" s="22" t="n"/>
      <x:c r="N174" s="22" t="n"/>
    </x:row>
    <x:row r="175">
      <x:c r="A175" s="22" t="n"/>
      <x:c r="B175" s="22" t="n"/>
      <x:c r="C175" s="22" t="n"/>
      <x:c r="D175" s="22" t="n"/>
      <x:c r="E175" s="23" t="n"/>
      <x:c r="F175" s="22" t="n"/>
      <x:c r="G175" s="22" t="n"/>
      <x:c r="H175" s="22" t="n"/>
      <x:c r="I175" s="22" t="n"/>
      <x:c r="J175" s="22" t="n"/>
      <x:c r="K175" s="22" t="n"/>
      <x:c r="L175" s="22" t="n"/>
      <x:c r="M175" s="22" t="n"/>
      <x:c r="N175" s="22" t="n"/>
    </x:row>
    <x:row r="176">
      <x:c r="A176" s="22" t="n"/>
      <x:c r="B176" s="22" t="n"/>
      <x:c r="C176" s="22" t="n"/>
      <x:c r="D176" s="22" t="n"/>
      <x:c r="E176" s="23" t="n"/>
      <x:c r="F176" s="22" t="n"/>
      <x:c r="G176" s="22" t="n"/>
      <x:c r="H176" s="22" t="n"/>
      <x:c r="I176" s="22" t="n"/>
      <x:c r="J176" s="22" t="n"/>
      <x:c r="K176" s="22" t="n"/>
      <x:c r="L176" s="22" t="n"/>
      <x:c r="M176" s="22" t="n"/>
      <x:c r="N176" s="22" t="n"/>
    </x:row>
    <x:row r="177">
      <x:c r="A177" s="22" t="n"/>
      <x:c r="B177" s="22" t="n"/>
      <x:c r="C177" s="22" t="n"/>
      <x:c r="D177" s="22" t="n"/>
      <x:c r="E177" s="23" t="n"/>
      <x:c r="F177" s="22" t="n"/>
      <x:c r="G177" s="22" t="n"/>
      <x:c r="H177" s="22" t="n"/>
      <x:c r="I177" s="22" t="n"/>
      <x:c r="J177" s="22" t="n"/>
      <x:c r="K177" s="22" t="n"/>
      <x:c r="L177" s="22" t="n"/>
      <x:c r="M177" s="22" t="n"/>
      <x:c r="N177" s="22" t="n"/>
    </x:row>
    <x:row r="178">
      <x:c r="A178" s="22" t="n"/>
      <x:c r="B178" s="22" t="n"/>
      <x:c r="C178" s="22" t="n"/>
      <x:c r="D178" s="22" t="n"/>
      <x:c r="E178" s="23" t="n"/>
      <x:c r="F178" s="22" t="n"/>
      <x:c r="G178" s="22" t="n"/>
      <x:c r="H178" s="22" t="n"/>
      <x:c r="I178" s="22" t="n"/>
      <x:c r="J178" s="22" t="n"/>
      <x:c r="K178" s="22" t="n"/>
      <x:c r="L178" s="22" t="n"/>
      <x:c r="M178" s="22" t="n"/>
      <x:c r="N178" s="22" t="n"/>
    </x:row>
    <x:row r="179">
      <x:c r="A179" s="22" t="n"/>
      <x:c r="B179" s="22" t="n"/>
      <x:c r="C179" s="22" t="n"/>
      <x:c r="D179" s="22" t="n"/>
      <x:c r="E179" s="23" t="n"/>
      <x:c r="F179" s="22" t="n"/>
      <x:c r="G179" s="22" t="n"/>
      <x:c r="H179" s="22" t="n"/>
      <x:c r="I179" s="22" t="n"/>
      <x:c r="J179" s="22" t="n"/>
      <x:c r="K179" s="22" t="n"/>
      <x:c r="L179" s="22" t="n"/>
      <x:c r="M179" s="22" t="n"/>
      <x:c r="N179" s="22" t="n"/>
    </x:row>
    <x:row r="180">
      <x:c r="A180" s="22" t="n"/>
      <x:c r="B180" s="22" t="n"/>
      <x:c r="C180" s="22" t="n"/>
      <x:c r="D180" s="22" t="n"/>
      <x:c r="E180" s="23" t="n"/>
      <x:c r="F180" s="22" t="n"/>
      <x:c r="G180" s="22" t="n"/>
      <x:c r="H180" s="22" t="n"/>
      <x:c r="I180" s="22" t="n"/>
      <x:c r="J180" s="22" t="n"/>
      <x:c r="K180" s="22" t="n"/>
      <x:c r="L180" s="22" t="n"/>
      <x:c r="M180" s="22" t="n"/>
      <x:c r="N180" s="22" t="n"/>
    </x:row>
    <x:row r="181">
      <x:c r="A181" s="22" t="n"/>
      <x:c r="B181" s="22" t="n"/>
      <x:c r="C181" s="22" t="n"/>
      <x:c r="D181" s="22" t="n"/>
      <x:c r="E181" s="23" t="n"/>
      <x:c r="F181" s="22" t="n"/>
      <x:c r="G181" s="22" t="n"/>
      <x:c r="H181" s="22" t="n"/>
      <x:c r="I181" s="22" t="n"/>
      <x:c r="J181" s="22" t="n"/>
      <x:c r="K181" s="22" t="n"/>
      <x:c r="L181" s="22" t="n"/>
      <x:c r="M181" s="22" t="n"/>
      <x:c r="N181" s="22" t="n"/>
    </x:row>
    <x:row r="182">
      <x:c r="A182" s="22" t="n"/>
      <x:c r="B182" s="22" t="n"/>
      <x:c r="C182" s="22" t="n"/>
      <x:c r="D182" s="22" t="n"/>
      <x:c r="E182" s="23" t="n"/>
      <x:c r="F182" s="22" t="n"/>
      <x:c r="G182" s="22" t="n"/>
      <x:c r="H182" s="22" t="n"/>
      <x:c r="I182" s="22" t="n"/>
      <x:c r="J182" s="22" t="n"/>
      <x:c r="K182" s="22" t="n"/>
      <x:c r="L182" s="22" t="n"/>
      <x:c r="M182" s="22" t="n"/>
      <x:c r="N182" s="22" t="n"/>
    </x:row>
    <x:row r="183">
      <x:c r="A183" s="22" t="n"/>
      <x:c r="B183" s="22" t="n"/>
      <x:c r="C183" s="22" t="n"/>
      <x:c r="D183" s="22" t="n"/>
      <x:c r="E183" s="23" t="n"/>
      <x:c r="F183" s="22" t="n"/>
      <x:c r="G183" s="22" t="n"/>
      <x:c r="H183" s="22" t="n"/>
      <x:c r="I183" s="22" t="n"/>
      <x:c r="J183" s="22" t="n"/>
      <x:c r="K183" s="22" t="n"/>
      <x:c r="L183" s="22" t="n"/>
      <x:c r="M183" s="22" t="n"/>
      <x:c r="N183" s="22" t="n"/>
    </x:row>
    <x:row r="184">
      <x:c r="A184" s="22" t="n"/>
      <x:c r="B184" s="22" t="n"/>
      <x:c r="C184" s="22" t="n"/>
      <x:c r="D184" s="22" t="n"/>
      <x:c r="E184" s="23" t="n"/>
      <x:c r="F184" s="22" t="n"/>
      <x:c r="G184" s="22" t="n"/>
      <x:c r="H184" s="22" t="n"/>
      <x:c r="I184" s="22" t="n"/>
      <x:c r="J184" s="22" t="n"/>
      <x:c r="K184" s="22" t="n"/>
      <x:c r="L184" s="22" t="n"/>
      <x:c r="M184" s="22" t="n"/>
      <x:c r="N184" s="22" t="n"/>
    </x:row>
    <x:row r="185">
      <x:c r="A185" s="22" t="n"/>
      <x:c r="B185" s="22" t="n"/>
      <x:c r="C185" s="22" t="n"/>
      <x:c r="D185" s="22" t="n"/>
      <x:c r="E185" s="23" t="n"/>
      <x:c r="F185" s="22" t="n"/>
      <x:c r="G185" s="22" t="n"/>
      <x:c r="H185" s="22" t="n"/>
      <x:c r="I185" s="22" t="n"/>
      <x:c r="J185" s="22" t="n"/>
      <x:c r="K185" s="22" t="n"/>
      <x:c r="L185" s="22" t="n"/>
      <x:c r="M185" s="22" t="n"/>
      <x:c r="N185" s="22" t="n"/>
    </x:row>
    <x:row r="186">
      <x:c r="A186" s="22" t="n"/>
      <x:c r="B186" s="22" t="n"/>
      <x:c r="C186" s="22" t="n"/>
      <x:c r="D186" s="22" t="n"/>
      <x:c r="E186" s="23" t="n"/>
      <x:c r="F186" s="22" t="n"/>
      <x:c r="G186" s="22" t="n"/>
      <x:c r="H186" s="22" t="n"/>
      <x:c r="I186" s="22" t="n"/>
      <x:c r="J186" s="22" t="n"/>
      <x:c r="K186" s="22" t="n"/>
      <x:c r="L186" s="22" t="n"/>
      <x:c r="M186" s="22" t="n"/>
      <x:c r="N186" s="22" t="n"/>
    </x:row>
    <x:row r="187">
      <x:c r="A187" s="22" t="n"/>
      <x:c r="B187" s="22" t="n"/>
      <x:c r="C187" s="22" t="n"/>
      <x:c r="D187" s="22" t="n"/>
      <x:c r="E187" s="23" t="n"/>
      <x:c r="F187" s="22" t="n"/>
      <x:c r="G187" s="22" t="n"/>
      <x:c r="H187" s="22" t="n"/>
      <x:c r="I187" s="22" t="n"/>
      <x:c r="J187" s="22" t="n"/>
      <x:c r="K187" s="22" t="n"/>
      <x:c r="L187" s="22" t="n"/>
      <x:c r="M187" s="22" t="n"/>
      <x:c r="N187" s="22" t="n"/>
    </x:row>
    <x:row r="188">
      <x:c r="A188" s="22" t="n"/>
      <x:c r="B188" s="22" t="n"/>
      <x:c r="C188" s="22" t="n"/>
      <x:c r="D188" s="22" t="n"/>
      <x:c r="E188" s="23" t="n"/>
      <x:c r="F188" s="22" t="n"/>
      <x:c r="G188" s="22" t="n"/>
      <x:c r="H188" s="22" t="n"/>
      <x:c r="I188" s="22" t="n"/>
      <x:c r="J188" s="22" t="n"/>
      <x:c r="K188" s="22" t="n"/>
      <x:c r="L188" s="22" t="n"/>
      <x:c r="M188" s="22" t="n"/>
      <x:c r="N188" s="22" t="n"/>
    </x:row>
    <x:row r="189">
      <x:c r="A189" s="22" t="n"/>
      <x:c r="B189" s="22" t="n"/>
      <x:c r="C189" s="22" t="n"/>
      <x:c r="D189" s="22" t="n"/>
      <x:c r="E189" s="23" t="n"/>
      <x:c r="F189" s="22" t="n"/>
      <x:c r="G189" s="22" t="n"/>
      <x:c r="H189" s="22" t="n"/>
      <x:c r="I189" s="22" t="n"/>
      <x:c r="J189" s="22" t="n"/>
      <x:c r="K189" s="22" t="n"/>
      <x:c r="L189" s="22" t="n"/>
      <x:c r="M189" s="22" t="n"/>
      <x:c r="N189" s="22" t="n"/>
    </x:row>
    <x:row r="190">
      <x:c r="A190" s="22" t="n"/>
      <x:c r="B190" s="22" t="n"/>
      <x:c r="C190" s="22" t="n"/>
      <x:c r="D190" s="22" t="n"/>
      <x:c r="E190" s="23" t="n"/>
      <x:c r="F190" s="22" t="n"/>
      <x:c r="G190" s="22" t="n"/>
      <x:c r="H190" s="22" t="n"/>
      <x:c r="I190" s="22" t="n"/>
      <x:c r="J190" s="22" t="n"/>
      <x:c r="K190" s="22" t="n"/>
      <x:c r="L190" s="22" t="n"/>
      <x:c r="M190" s="22" t="n"/>
      <x:c r="N190" s="22" t="n"/>
    </x:row>
    <x:row r="191">
      <x:c r="A191" s="22" t="n"/>
      <x:c r="B191" s="22" t="n"/>
      <x:c r="C191" s="22" t="n"/>
      <x:c r="D191" s="22" t="n"/>
      <x:c r="E191" s="23" t="n"/>
      <x:c r="F191" s="22" t="n"/>
      <x:c r="G191" s="22" t="n"/>
      <x:c r="H191" s="22" t="n"/>
      <x:c r="I191" s="22" t="n"/>
      <x:c r="J191" s="22" t="n"/>
      <x:c r="K191" s="22" t="n"/>
      <x:c r="L191" s="22" t="n"/>
      <x:c r="M191" s="22" t="n"/>
      <x:c r="N191" s="22" t="n"/>
    </x:row>
    <x:row r="192">
      <x:c r="A192" s="22" t="n"/>
      <x:c r="B192" s="22" t="n"/>
      <x:c r="C192" s="22" t="n"/>
      <x:c r="D192" s="22" t="n"/>
      <x:c r="E192" s="23" t="n"/>
      <x:c r="F192" s="22" t="n"/>
      <x:c r="G192" s="22" t="n"/>
      <x:c r="H192" s="22" t="n"/>
      <x:c r="I192" s="22" t="n"/>
      <x:c r="J192" s="22" t="n"/>
      <x:c r="K192" s="22" t="n"/>
      <x:c r="L192" s="22" t="n"/>
      <x:c r="M192" s="22" t="n"/>
      <x:c r="N192" s="22" t="n"/>
    </x:row>
    <x:row r="193">
      <x:c r="A193" s="22" t="n"/>
      <x:c r="B193" s="22" t="n"/>
      <x:c r="C193" s="22" t="n"/>
      <x:c r="D193" s="22" t="n"/>
      <x:c r="E193" s="23" t="n"/>
      <x:c r="F193" s="22" t="n"/>
      <x:c r="G193" s="22" t="n"/>
      <x:c r="H193" s="22" t="n"/>
      <x:c r="I193" s="22" t="n"/>
      <x:c r="J193" s="22" t="n"/>
      <x:c r="K193" s="22" t="n"/>
      <x:c r="L193" s="22" t="n"/>
      <x:c r="M193" s="22" t="n"/>
      <x:c r="N193" s="22" t="n"/>
    </x:row>
    <x:row r="194">
      <x:c r="A194" s="22" t="n"/>
      <x:c r="B194" s="22" t="n"/>
      <x:c r="C194" s="22" t="n"/>
      <x:c r="D194" s="22" t="n"/>
      <x:c r="E194" s="23" t="n"/>
      <x:c r="F194" s="22" t="n"/>
      <x:c r="G194" s="22" t="n"/>
      <x:c r="H194" s="22" t="n"/>
      <x:c r="I194" s="22" t="n"/>
      <x:c r="J194" s="22" t="n"/>
      <x:c r="K194" s="22" t="n"/>
      <x:c r="L194" s="22" t="n"/>
      <x:c r="M194" s="22" t="n"/>
      <x:c r="N194" s="22" t="n"/>
    </x:row>
    <x:row r="195">
      <x:c r="A195" s="22" t="n"/>
      <x:c r="B195" s="22" t="n"/>
      <x:c r="C195" s="22" t="n"/>
      <x:c r="D195" s="22" t="n"/>
      <x:c r="E195" s="23" t="n"/>
      <x:c r="F195" s="22" t="n"/>
      <x:c r="G195" s="22" t="n"/>
      <x:c r="H195" s="22" t="n"/>
      <x:c r="I195" s="22" t="n"/>
      <x:c r="J195" s="22" t="n"/>
      <x:c r="K195" s="22" t="n"/>
      <x:c r="L195" s="22" t="n"/>
      <x:c r="M195" s="22" t="n"/>
      <x:c r="N195" s="22" t="n"/>
    </x:row>
    <x:row r="196">
      <x:c r="A196" s="22" t="n"/>
      <x:c r="B196" s="22" t="n"/>
      <x:c r="C196" s="22" t="n"/>
      <x:c r="D196" s="22" t="n"/>
      <x:c r="E196" s="23" t="n"/>
      <x:c r="F196" s="22" t="n"/>
      <x:c r="G196" s="22" t="n"/>
      <x:c r="H196" s="22" t="n"/>
      <x:c r="I196" s="22" t="n"/>
      <x:c r="J196" s="22" t="n"/>
      <x:c r="K196" s="22" t="n"/>
      <x:c r="L196" s="22" t="n"/>
      <x:c r="M196" s="22" t="n"/>
      <x:c r="N196" s="22" t="n"/>
    </x:row>
    <x:row r="197">
      <x:c r="A197" s="22" t="n"/>
      <x:c r="B197" s="22" t="n"/>
      <x:c r="C197" s="22" t="n"/>
      <x:c r="D197" s="22" t="n"/>
      <x:c r="E197" s="23" t="n"/>
      <x:c r="F197" s="22" t="n"/>
      <x:c r="G197" s="22" t="n"/>
      <x:c r="H197" s="22" t="n"/>
      <x:c r="I197" s="22" t="n"/>
      <x:c r="J197" s="22" t="n"/>
      <x:c r="K197" s="22" t="n"/>
      <x:c r="L197" s="22" t="n"/>
      <x:c r="M197" s="22" t="n"/>
      <x:c r="N197" s="22" t="n"/>
    </x:row>
    <x:row r="198">
      <x:c r="A198" s="22" t="n"/>
      <x:c r="B198" s="22" t="n"/>
      <x:c r="C198" s="22" t="n"/>
      <x:c r="D198" s="22" t="n"/>
      <x:c r="E198" s="23" t="n"/>
      <x:c r="F198" s="22" t="n"/>
      <x:c r="G198" s="22" t="n"/>
      <x:c r="H198" s="22" t="n"/>
      <x:c r="I198" s="22" t="n"/>
      <x:c r="J198" s="22" t="n"/>
      <x:c r="K198" s="22" t="n"/>
      <x:c r="L198" s="22" t="n"/>
      <x:c r="M198" s="22" t="n"/>
      <x:c r="N198" s="22" t="n"/>
    </x:row>
    <x:row r="199">
      <x:c r="A199" s="22" t="n"/>
      <x:c r="B199" s="22" t="n"/>
      <x:c r="C199" s="22" t="n"/>
      <x:c r="D199" s="22" t="n"/>
      <x:c r="E199" s="23" t="n"/>
      <x:c r="F199" s="22" t="n"/>
      <x:c r="G199" s="22" t="n"/>
      <x:c r="H199" s="22" t="n"/>
      <x:c r="I199" s="22" t="n"/>
      <x:c r="J199" s="22" t="n"/>
      <x:c r="K199" s="22" t="n"/>
      <x:c r="L199" s="22" t="n"/>
      <x:c r="M199" s="22" t="n"/>
      <x:c r="N199" s="22" t="n"/>
    </x:row>
    <x:row r="200">
      <x:c r="A200" s="22" t="n"/>
      <x:c r="B200" s="22" t="n"/>
      <x:c r="C200" s="22" t="n"/>
      <x:c r="D200" s="22" t="n"/>
      <x:c r="E200" s="23" t="n"/>
      <x:c r="F200" s="22" t="n"/>
      <x:c r="G200" s="22" t="n"/>
      <x:c r="H200" s="22" t="n"/>
      <x:c r="I200" s="22" t="n"/>
      <x:c r="J200" s="22" t="n"/>
      <x:c r="K200" s="22" t="n"/>
      <x:c r="L200" s="22" t="n"/>
      <x:c r="M200" s="22" t="n"/>
      <x:c r="N200" s="22" t="n"/>
    </x:row>
    <x:row r="201">
      <x:c r="A201" s="22" t="n"/>
      <x:c r="B201" s="22" t="n"/>
      <x:c r="C201" s="22" t="n"/>
      <x:c r="D201" s="22" t="n"/>
      <x:c r="E201" s="23" t="n"/>
      <x:c r="F201" s="22" t="n"/>
      <x:c r="G201" s="22" t="n"/>
      <x:c r="H201" s="22" t="n"/>
      <x:c r="I201" s="22" t="n"/>
      <x:c r="J201" s="22" t="n"/>
      <x:c r="K201" s="22" t="n"/>
      <x:c r="L201" s="22" t="n"/>
      <x:c r="M201" s="22" t="n"/>
      <x:c r="N201" s="22" t="n"/>
    </x:row>
    <x:row r="202">
      <x:c r="A202" s="22" t="n"/>
      <x:c r="B202" s="22" t="n"/>
      <x:c r="C202" s="22" t="n"/>
      <x:c r="D202" s="22" t="n"/>
      <x:c r="E202" s="23" t="n"/>
      <x:c r="F202" s="22" t="n"/>
      <x:c r="G202" s="22" t="n"/>
      <x:c r="H202" s="22" t="n"/>
      <x:c r="I202" s="22" t="n"/>
      <x:c r="J202" s="22" t="n"/>
      <x:c r="K202" s="22" t="n"/>
      <x:c r="L202" s="22" t="n"/>
      <x:c r="M202" s="22" t="n"/>
      <x:c r="N202" s="22" t="n"/>
    </x:row>
    <x:row r="203">
      <x:c r="A203" s="22" t="n"/>
      <x:c r="B203" s="22" t="n"/>
      <x:c r="C203" s="22" t="n"/>
      <x:c r="D203" s="22" t="n"/>
      <x:c r="E203" s="23" t="n"/>
      <x:c r="F203" s="22" t="n"/>
      <x:c r="G203" s="22" t="n"/>
      <x:c r="H203" s="22" t="n"/>
      <x:c r="I203" s="22" t="n"/>
      <x:c r="J203" s="22" t="n"/>
      <x:c r="K203" s="22" t="n"/>
      <x:c r="L203" s="22" t="n"/>
      <x:c r="M203" s="22" t="n"/>
      <x:c r="N203" s="22" t="n"/>
    </x:row>
    <x:row r="204">
      <x:c r="A204" s="22" t="n"/>
      <x:c r="B204" s="22" t="n"/>
      <x:c r="C204" s="22" t="n"/>
      <x:c r="D204" s="22" t="n"/>
      <x:c r="E204" s="23" t="n"/>
      <x:c r="F204" s="22" t="n"/>
      <x:c r="G204" s="22" t="n"/>
      <x:c r="H204" s="22" t="n"/>
      <x:c r="I204" s="22" t="n"/>
      <x:c r="J204" s="22" t="n"/>
      <x:c r="K204" s="22" t="n"/>
      <x:c r="L204" s="22" t="n"/>
      <x:c r="M204" s="22" t="n"/>
      <x:c r="N204" s="22" t="n"/>
    </x:row>
    <x:row r="205">
      <x:c r="A205" s="22" t="n"/>
      <x:c r="B205" s="22" t="n"/>
      <x:c r="C205" s="22" t="n"/>
      <x:c r="D205" s="22" t="n"/>
      <x:c r="E205" s="23" t="n"/>
      <x:c r="F205" s="22" t="n"/>
      <x:c r="G205" s="22" t="n"/>
      <x:c r="H205" s="22" t="n"/>
      <x:c r="I205" s="22" t="n"/>
      <x:c r="J205" s="22" t="n"/>
      <x:c r="K205" s="22" t="n"/>
      <x:c r="L205" s="22" t="n"/>
      <x:c r="M205" s="22" t="n"/>
      <x:c r="N205" s="22" t="n"/>
    </x:row>
    <x:row r="206">
      <x:c r="A206" s="22" t="n"/>
      <x:c r="B206" s="22" t="n"/>
      <x:c r="C206" s="22" t="n"/>
      <x:c r="D206" s="22" t="n"/>
      <x:c r="E206" s="23" t="n"/>
      <x:c r="F206" s="22" t="n"/>
      <x:c r="G206" s="22" t="n"/>
      <x:c r="H206" s="22" t="n"/>
      <x:c r="I206" s="22" t="n"/>
      <x:c r="J206" s="22" t="n"/>
      <x:c r="K206" s="22" t="n"/>
      <x:c r="L206" s="22" t="n"/>
      <x:c r="M206" s="22" t="n"/>
      <x:c r="N206" s="22" t="n"/>
    </x:row>
    <x:row r="207">
      <x:c r="A207" s="22" t="n"/>
      <x:c r="B207" s="22" t="n"/>
      <x:c r="C207" s="22" t="n"/>
      <x:c r="D207" s="22" t="n"/>
      <x:c r="E207" s="23" t="n"/>
      <x:c r="F207" s="22" t="n"/>
      <x:c r="G207" s="22" t="n"/>
      <x:c r="H207" s="22" t="n"/>
      <x:c r="I207" s="22" t="n"/>
      <x:c r="J207" s="22" t="n"/>
      <x:c r="K207" s="22" t="n"/>
      <x:c r="L207" s="22" t="n"/>
      <x:c r="M207" s="22" t="n"/>
      <x:c r="N207" s="22" t="n"/>
    </x:row>
    <x:row r="208">
      <x:c r="A208" s="22" t="n"/>
      <x:c r="B208" s="22" t="n"/>
      <x:c r="C208" s="22" t="n"/>
      <x:c r="D208" s="22" t="n"/>
      <x:c r="E208" s="23" t="n"/>
      <x:c r="F208" s="22" t="n"/>
      <x:c r="G208" s="22" t="n"/>
      <x:c r="H208" s="22" t="n"/>
      <x:c r="I208" s="22" t="n"/>
      <x:c r="J208" s="22" t="n"/>
      <x:c r="K208" s="22" t="n"/>
      <x:c r="L208" s="22" t="n"/>
      <x:c r="M208" s="22" t="n"/>
      <x:c r="N208" s="22" t="n"/>
    </x:row>
    <x:row r="209">
      <x:c r="A209" s="22" t="n"/>
      <x:c r="B209" s="22" t="n"/>
      <x:c r="C209" s="22" t="n"/>
      <x:c r="D209" s="22" t="n"/>
      <x:c r="E209" s="23" t="n"/>
      <x:c r="F209" s="22" t="n"/>
      <x:c r="G209" s="22" t="n"/>
      <x:c r="H209" s="22" t="n"/>
      <x:c r="I209" s="22" t="n"/>
      <x:c r="J209" s="22" t="n"/>
      <x:c r="K209" s="22" t="n"/>
      <x:c r="L209" s="22" t="n"/>
      <x:c r="M209" s="22" t="n"/>
      <x:c r="N209" s="22" t="n"/>
    </x:row>
    <x:row r="210">
      <x:c r="A210" s="22" t="n"/>
      <x:c r="B210" s="22" t="n"/>
      <x:c r="C210" s="22" t="n"/>
      <x:c r="D210" s="22" t="n"/>
      <x:c r="E210" s="23" t="n"/>
      <x:c r="F210" s="22" t="n"/>
      <x:c r="G210" s="22" t="n"/>
      <x:c r="H210" s="22" t="n"/>
      <x:c r="I210" s="22" t="n"/>
      <x:c r="J210" s="22" t="n"/>
      <x:c r="K210" s="22" t="n"/>
      <x:c r="L210" s="22" t="n"/>
      <x:c r="M210" s="22" t="n"/>
      <x:c r="N210" s="22" t="n"/>
    </x:row>
    <x:row r="211">
      <x:c r="A211" s="22" t="n"/>
      <x:c r="B211" s="22" t="n"/>
      <x:c r="C211" s="22" t="n"/>
      <x:c r="D211" s="22" t="n"/>
      <x:c r="E211" s="23" t="n"/>
      <x:c r="F211" s="22" t="n"/>
      <x:c r="G211" s="22" t="n"/>
      <x:c r="H211" s="22" t="n"/>
      <x:c r="I211" s="22" t="n"/>
      <x:c r="J211" s="22" t="n"/>
      <x:c r="K211" s="22" t="n"/>
      <x:c r="L211" s="22" t="n"/>
      <x:c r="M211" s="22" t="n"/>
      <x:c r="N211" s="22" t="n"/>
    </x:row>
    <x:row r="212">
      <x:c r="A212" s="22" t="n"/>
      <x:c r="B212" s="22" t="n"/>
      <x:c r="C212" s="22" t="n"/>
      <x:c r="D212" s="22" t="n"/>
      <x:c r="E212" s="23" t="n"/>
      <x:c r="F212" s="22" t="n"/>
      <x:c r="G212" s="22" t="n"/>
      <x:c r="H212" s="22" t="n"/>
      <x:c r="I212" s="22" t="n"/>
      <x:c r="J212" s="22" t="n"/>
      <x:c r="K212" s="22" t="n"/>
      <x:c r="L212" s="22" t="n"/>
      <x:c r="M212" s="22" t="n"/>
      <x:c r="N212" s="22" t="n"/>
    </x:row>
    <x:row r="213">
      <x:c r="A213" s="22" t="n"/>
      <x:c r="B213" s="22" t="n"/>
      <x:c r="C213" s="22" t="n"/>
      <x:c r="D213" s="22" t="n"/>
      <x:c r="E213" s="23" t="n"/>
      <x:c r="F213" s="22" t="n"/>
      <x:c r="G213" s="22" t="n"/>
      <x:c r="H213" s="22" t="n"/>
      <x:c r="I213" s="22" t="n"/>
      <x:c r="J213" s="22" t="n"/>
      <x:c r="K213" s="22" t="n"/>
      <x:c r="L213" s="22" t="n"/>
      <x:c r="M213" s="22" t="n"/>
      <x:c r="N213" s="22" t="n"/>
    </x:row>
    <x:row r="214">
      <x:c r="A214" s="22" t="n"/>
      <x:c r="B214" s="22" t="n"/>
      <x:c r="C214" s="22" t="n"/>
      <x:c r="D214" s="22" t="n"/>
      <x:c r="E214" s="23" t="n"/>
      <x:c r="F214" s="22" t="n"/>
      <x:c r="G214" s="22" t="n"/>
      <x:c r="H214" s="22" t="n"/>
      <x:c r="I214" s="22" t="n"/>
      <x:c r="J214" s="22" t="n"/>
      <x:c r="K214" s="22" t="n"/>
      <x:c r="L214" s="22" t="n"/>
      <x:c r="M214" s="22" t="n"/>
      <x:c r="N214" s="22" t="n"/>
    </x:row>
    <x:row r="215">
      <x:c r="A215" s="22" t="n"/>
      <x:c r="B215" s="22" t="n"/>
      <x:c r="C215" s="22" t="n"/>
      <x:c r="D215" s="22" t="n"/>
      <x:c r="E215" s="23" t="n"/>
      <x:c r="F215" s="22" t="n"/>
      <x:c r="G215" s="22" t="n"/>
      <x:c r="H215" s="22" t="n"/>
      <x:c r="I215" s="22" t="n"/>
      <x:c r="J215" s="22" t="n"/>
      <x:c r="K215" s="22" t="n"/>
      <x:c r="L215" s="22" t="n"/>
      <x:c r="M215" s="22" t="n"/>
      <x:c r="N215" s="22" t="n"/>
    </x:row>
    <x:row r="216">
      <x:c r="A216" s="22" t="n"/>
      <x:c r="B216" s="22" t="n"/>
      <x:c r="C216" s="22" t="n"/>
      <x:c r="D216" s="22" t="n"/>
      <x:c r="E216" s="23" t="n"/>
      <x:c r="F216" s="22" t="n"/>
      <x:c r="G216" s="22" t="n"/>
      <x:c r="H216" s="22" t="n"/>
      <x:c r="I216" s="22" t="n"/>
      <x:c r="J216" s="22" t="n"/>
      <x:c r="K216" s="22" t="n"/>
      <x:c r="L216" s="22" t="n"/>
      <x:c r="M216" s="22" t="n"/>
      <x:c r="N216" s="22" t="n"/>
    </x:row>
    <x:row r="217">
      <x:c r="A217" s="22" t="n"/>
      <x:c r="B217" s="22" t="n"/>
      <x:c r="C217" s="22" t="n"/>
      <x:c r="D217" s="22" t="n"/>
      <x:c r="E217" s="23" t="n"/>
      <x:c r="F217" s="22" t="n"/>
      <x:c r="G217" s="22" t="n"/>
      <x:c r="H217" s="22" t="n"/>
      <x:c r="I217" s="22" t="n"/>
      <x:c r="J217" s="22" t="n"/>
      <x:c r="K217" s="22" t="n"/>
      <x:c r="L217" s="22" t="n"/>
      <x:c r="M217" s="22" t="n"/>
      <x:c r="N217" s="22" t="n"/>
    </x:row>
    <x:row r="218">
      <x:c r="A218" s="22" t="n"/>
      <x:c r="B218" s="22" t="n"/>
      <x:c r="C218" s="22" t="n"/>
      <x:c r="D218" s="22" t="n"/>
      <x:c r="E218" s="23" t="n"/>
      <x:c r="F218" s="22" t="n"/>
      <x:c r="G218" s="22" t="n"/>
      <x:c r="H218" s="22" t="n"/>
      <x:c r="I218" s="22" t="n"/>
      <x:c r="J218" s="22" t="n"/>
      <x:c r="K218" s="22" t="n"/>
      <x:c r="L218" s="22" t="n"/>
      <x:c r="M218" s="22" t="n"/>
      <x:c r="N218" s="22" t="n"/>
    </x:row>
    <x:row r="219">
      <x:c r="A219" s="22" t="n"/>
      <x:c r="B219" s="22" t="n"/>
      <x:c r="C219" s="22" t="n"/>
      <x:c r="D219" s="22" t="n"/>
      <x:c r="E219" s="23" t="n"/>
      <x:c r="F219" s="22" t="n"/>
      <x:c r="G219" s="22" t="n"/>
      <x:c r="H219" s="22" t="n"/>
      <x:c r="I219" s="22" t="n"/>
      <x:c r="J219" s="22" t="n"/>
      <x:c r="K219" s="22" t="n"/>
      <x:c r="L219" s="22" t="n"/>
      <x:c r="M219" s="22" t="n"/>
      <x:c r="N219" s="22" t="n"/>
    </x:row>
    <x:row r="220">
      <x:c r="A220" s="22" t="n"/>
      <x:c r="B220" s="22" t="n"/>
      <x:c r="C220" s="22" t="n"/>
      <x:c r="D220" s="22" t="n"/>
      <x:c r="E220" s="23" t="n"/>
      <x:c r="F220" s="22" t="n"/>
      <x:c r="G220" s="22" t="n"/>
      <x:c r="H220" s="22" t="n"/>
      <x:c r="I220" s="22" t="n"/>
      <x:c r="J220" s="22" t="n"/>
      <x:c r="K220" s="22" t="n"/>
      <x:c r="L220" s="22" t="n"/>
      <x:c r="M220" s="22" t="n"/>
      <x:c r="N220" s="22" t="n"/>
    </x:row>
    <x:row r="221">
      <x:c r="A221" s="22" t="n"/>
      <x:c r="B221" s="22" t="n"/>
      <x:c r="C221" s="22" t="n"/>
      <x:c r="D221" s="22" t="n"/>
      <x:c r="E221" s="23" t="n"/>
      <x:c r="F221" s="22" t="n"/>
      <x:c r="G221" s="22" t="n"/>
      <x:c r="H221" s="22" t="n"/>
      <x:c r="I221" s="22" t="n"/>
      <x:c r="J221" s="22" t="n"/>
      <x:c r="K221" s="22" t="n"/>
      <x:c r="L221" s="22" t="n"/>
      <x:c r="M221" s="22" t="n"/>
      <x:c r="N221" s="22" t="n"/>
    </x:row>
    <x:row r="222">
      <x:c r="A222" s="22" t="n"/>
      <x:c r="B222" s="22" t="n"/>
      <x:c r="C222" s="22" t="n"/>
      <x:c r="D222" s="22" t="n"/>
      <x:c r="E222" s="23" t="n"/>
      <x:c r="F222" s="22" t="n"/>
      <x:c r="G222" s="22" t="n"/>
      <x:c r="H222" s="22" t="n"/>
      <x:c r="I222" s="22" t="n"/>
      <x:c r="J222" s="22" t="n"/>
      <x:c r="K222" s="22" t="n"/>
      <x:c r="L222" s="22" t="n"/>
      <x:c r="M222" s="22" t="n"/>
      <x:c r="N222" s="22" t="n"/>
    </x:row>
    <x:row r="223">
      <x:c r="A223" s="22" t="n"/>
      <x:c r="B223" s="22" t="n"/>
      <x:c r="C223" s="22" t="n"/>
      <x:c r="D223" s="22" t="n"/>
      <x:c r="E223" s="23" t="n"/>
      <x:c r="F223" s="22" t="n"/>
      <x:c r="G223" s="22" t="n"/>
      <x:c r="H223" s="22" t="n"/>
      <x:c r="I223" s="22" t="n"/>
      <x:c r="J223" s="22" t="n"/>
      <x:c r="K223" s="22" t="n"/>
      <x:c r="L223" s="22" t="n"/>
      <x:c r="M223" s="22" t="n"/>
      <x:c r="N223" s="22" t="n"/>
    </x:row>
    <x:row r="224">
      <x:c r="A224" s="22" t="n"/>
      <x:c r="B224" s="22" t="n"/>
      <x:c r="C224" s="22" t="n"/>
      <x:c r="D224" s="22" t="n"/>
      <x:c r="E224" s="23" t="n"/>
      <x:c r="F224" s="22" t="n"/>
      <x:c r="G224" s="22" t="n"/>
      <x:c r="H224" s="22" t="n"/>
      <x:c r="I224" s="22" t="n"/>
      <x:c r="J224" s="22" t="n"/>
      <x:c r="K224" s="22" t="n"/>
      <x:c r="L224" s="22" t="n"/>
      <x:c r="M224" s="22" t="n"/>
      <x:c r="N224" s="22" t="n"/>
    </x:row>
    <x:row r="225">
      <x:c r="A225" s="22" t="n"/>
      <x:c r="B225" s="22" t="n"/>
      <x:c r="C225" s="22" t="n"/>
      <x:c r="D225" s="22" t="n"/>
      <x:c r="E225" s="23" t="n"/>
      <x:c r="F225" s="22" t="n"/>
      <x:c r="G225" s="22" t="n"/>
      <x:c r="H225" s="22" t="n"/>
      <x:c r="I225" s="22" t="n"/>
      <x:c r="J225" s="22" t="n"/>
      <x:c r="K225" s="22" t="n"/>
      <x:c r="L225" s="22" t="n"/>
      <x:c r="M225" s="22" t="n"/>
      <x:c r="N225" s="22" t="n"/>
    </x:row>
    <x:row r="226">
      <x:c r="A226" s="22" t="n"/>
      <x:c r="B226" s="22" t="n"/>
      <x:c r="C226" s="22" t="n"/>
      <x:c r="D226" s="22" t="n"/>
      <x:c r="E226" s="23" t="n"/>
      <x:c r="F226" s="22" t="n"/>
      <x:c r="G226" s="22" t="n"/>
      <x:c r="H226" s="22" t="n"/>
      <x:c r="I226" s="22" t="n"/>
      <x:c r="J226" s="22" t="n"/>
      <x:c r="K226" s="22" t="n"/>
      <x:c r="L226" s="22" t="n"/>
      <x:c r="M226" s="22" t="n"/>
      <x:c r="N226" s="22" t="n"/>
    </x:row>
    <x:row r="227">
      <x:c r="A227" s="22" t="n"/>
      <x:c r="B227" s="22" t="n"/>
      <x:c r="C227" s="22" t="n"/>
      <x:c r="D227" s="22" t="n"/>
      <x:c r="E227" s="23" t="n"/>
      <x:c r="F227" s="22" t="n"/>
      <x:c r="G227" s="22" t="n"/>
      <x:c r="H227" s="22" t="n"/>
      <x:c r="I227" s="22" t="n"/>
      <x:c r="J227" s="22" t="n"/>
      <x:c r="K227" s="22" t="n"/>
      <x:c r="L227" s="22" t="n"/>
      <x:c r="M227" s="22" t="n"/>
      <x:c r="N227" s="22" t="n"/>
    </x:row>
    <x:row r="228">
      <x:c r="A228" s="22" t="n"/>
      <x:c r="B228" s="22" t="n"/>
      <x:c r="C228" s="22" t="n"/>
      <x:c r="D228" s="22" t="n"/>
      <x:c r="E228" s="23" t="n"/>
      <x:c r="F228" s="22" t="n"/>
      <x:c r="G228" s="22" t="n"/>
      <x:c r="H228" s="22" t="n"/>
      <x:c r="I228" s="22" t="n"/>
      <x:c r="J228" s="22" t="n"/>
      <x:c r="K228" s="22" t="n"/>
      <x:c r="L228" s="22" t="n"/>
      <x:c r="M228" s="22" t="n"/>
      <x:c r="N228" s="22" t="n"/>
    </x:row>
    <x:row r="229">
      <x:c r="A229" s="22" t="n"/>
      <x:c r="B229" s="22" t="n"/>
      <x:c r="C229" s="22" t="n"/>
      <x:c r="D229" s="22" t="n"/>
      <x:c r="E229" s="23" t="n"/>
      <x:c r="F229" s="22" t="n"/>
      <x:c r="G229" s="22" t="n"/>
      <x:c r="H229" s="22" t="n"/>
      <x:c r="I229" s="22" t="n"/>
      <x:c r="J229" s="22" t="n"/>
      <x:c r="K229" s="22" t="n"/>
      <x:c r="L229" s="22" t="n"/>
      <x:c r="M229" s="22" t="n"/>
      <x:c r="N229" s="22" t="n"/>
    </x:row>
    <x:row r="230">
      <x:c r="A230" s="22" t="n"/>
      <x:c r="B230" s="22" t="n"/>
      <x:c r="C230" s="22" t="n"/>
      <x:c r="D230" s="22" t="n"/>
      <x:c r="E230" s="23" t="n"/>
      <x:c r="F230" s="22" t="n"/>
      <x:c r="G230" s="22" t="n"/>
      <x:c r="H230" s="22" t="n"/>
      <x:c r="I230" s="22" t="n"/>
      <x:c r="J230" s="22" t="n"/>
      <x:c r="K230" s="22" t="n"/>
      <x:c r="L230" s="22" t="n"/>
      <x:c r="M230" s="22" t="n"/>
      <x:c r="N230" s="22" t="n"/>
    </x:row>
    <x:row r="231">
      <x:c r="A231" s="22" t="n"/>
      <x:c r="B231" s="22" t="n"/>
      <x:c r="C231" s="22" t="n"/>
      <x:c r="D231" s="22" t="n"/>
      <x:c r="E231" s="23" t="n"/>
      <x:c r="F231" s="22" t="n"/>
      <x:c r="G231" s="22" t="n"/>
      <x:c r="H231" s="22" t="n"/>
      <x:c r="I231" s="22" t="n"/>
      <x:c r="J231" s="22" t="n"/>
      <x:c r="K231" s="22" t="n"/>
      <x:c r="L231" s="22" t="n"/>
      <x:c r="M231" s="22" t="n"/>
      <x:c r="N231" s="22" t="n"/>
    </x:row>
    <x:row r="232">
      <x:c r="A232" s="22" t="n"/>
      <x:c r="B232" s="22" t="n"/>
      <x:c r="C232" s="22" t="n"/>
      <x:c r="D232" s="22" t="n"/>
      <x:c r="E232" s="23" t="n"/>
      <x:c r="F232" s="22" t="n"/>
      <x:c r="G232" s="22" t="n"/>
      <x:c r="H232" s="22" t="n"/>
      <x:c r="I232" s="22" t="n"/>
      <x:c r="J232" s="22" t="n"/>
      <x:c r="K232" s="22" t="n"/>
      <x:c r="L232" s="22" t="n"/>
      <x:c r="M232" s="22" t="n"/>
      <x:c r="N232" s="22" t="n"/>
    </x:row>
    <x:row r="233">
      <x:c r="A233" s="22" t="n"/>
      <x:c r="B233" s="22" t="n"/>
      <x:c r="C233" s="22" t="n"/>
      <x:c r="D233" s="22" t="n"/>
      <x:c r="E233" s="23" t="n"/>
      <x:c r="F233" s="22" t="n"/>
      <x:c r="G233" s="22" t="n"/>
      <x:c r="H233" s="22" t="n"/>
      <x:c r="I233" s="22" t="n"/>
      <x:c r="J233" s="22" t="n"/>
      <x:c r="K233" s="22" t="n"/>
      <x:c r="L233" s="22" t="n"/>
      <x:c r="M233" s="22" t="n"/>
      <x:c r="N233" s="22" t="n"/>
    </x:row>
    <x:row r="234">
      <x:c r="A234" s="22" t="n"/>
      <x:c r="B234" s="22" t="n"/>
      <x:c r="C234" s="22" t="n"/>
      <x:c r="D234" s="22" t="n"/>
      <x:c r="E234" s="23" t="n"/>
      <x:c r="F234" s="22" t="n"/>
      <x:c r="G234" s="22" t="n"/>
      <x:c r="H234" s="22" t="n"/>
      <x:c r="I234" s="22" t="n"/>
      <x:c r="J234" s="22" t="n"/>
      <x:c r="K234" s="22" t="n"/>
      <x:c r="L234" s="22" t="n"/>
      <x:c r="M234" s="22" t="n"/>
      <x:c r="N234" s="22" t="n"/>
    </x:row>
    <x:row r="235">
      <x:c r="A235" s="22" t="n"/>
      <x:c r="B235" s="22" t="n"/>
      <x:c r="C235" s="22" t="n"/>
      <x:c r="D235" s="22" t="n"/>
      <x:c r="E235" s="23" t="n"/>
      <x:c r="F235" s="22" t="n"/>
      <x:c r="G235" s="22" t="n"/>
      <x:c r="H235" s="22" t="n"/>
      <x:c r="I235" s="22" t="n"/>
      <x:c r="J235" s="22" t="n"/>
      <x:c r="K235" s="22" t="n"/>
      <x:c r="L235" s="22" t="n"/>
      <x:c r="M235" s="22" t="n"/>
      <x:c r="N235" s="22" t="n"/>
    </x:row>
    <x:row r="236">
      <x:c r="A236" s="22" t="n"/>
      <x:c r="B236" s="22" t="n"/>
      <x:c r="C236" s="22" t="n"/>
      <x:c r="D236" s="22" t="n"/>
      <x:c r="E236" s="23" t="n"/>
      <x:c r="F236" s="22" t="n"/>
      <x:c r="G236" s="22" t="n"/>
      <x:c r="H236" s="22" t="n"/>
      <x:c r="I236" s="22" t="n"/>
      <x:c r="J236" s="22" t="n"/>
      <x:c r="K236" s="22" t="n"/>
      <x:c r="L236" s="22" t="n"/>
      <x:c r="M236" s="22" t="n"/>
      <x:c r="N236" s="22" t="n"/>
    </x:row>
    <x:row r="237">
      <x:c r="A237" s="22" t="n"/>
      <x:c r="B237" s="22" t="n"/>
      <x:c r="C237" s="22" t="n"/>
      <x:c r="D237" s="22" t="n"/>
      <x:c r="E237" s="23" t="n"/>
      <x:c r="F237" s="22" t="n"/>
      <x:c r="G237" s="22" t="n"/>
      <x:c r="H237" s="22" t="n"/>
      <x:c r="I237" s="22" t="n"/>
      <x:c r="J237" s="22" t="n"/>
      <x:c r="K237" s="22" t="n"/>
      <x:c r="L237" s="22" t="n"/>
      <x:c r="M237" s="22" t="n"/>
      <x:c r="N237" s="22" t="n"/>
    </x:row>
    <x:row r="238">
      <x:c r="A238" s="22" t="n"/>
      <x:c r="B238" s="22" t="n"/>
      <x:c r="C238" s="22" t="n"/>
      <x:c r="D238" s="22" t="n"/>
      <x:c r="E238" s="23" t="n"/>
      <x:c r="F238" s="22" t="n"/>
      <x:c r="G238" s="22" t="n"/>
      <x:c r="H238" s="22" t="n"/>
      <x:c r="I238" s="22" t="n"/>
      <x:c r="J238" s="22" t="n"/>
      <x:c r="K238" s="22" t="n"/>
      <x:c r="L238" s="22" t="n"/>
      <x:c r="M238" s="22" t="n"/>
      <x:c r="N238" s="22" t="n"/>
    </x:row>
    <x:row r="239">
      <x:c r="A239" s="22" t="n"/>
      <x:c r="B239" s="22" t="n"/>
      <x:c r="C239" s="22" t="n"/>
      <x:c r="D239" s="22" t="n"/>
      <x:c r="E239" s="23" t="n"/>
      <x:c r="F239" s="22" t="n"/>
      <x:c r="G239" s="22" t="n"/>
      <x:c r="H239" s="22" t="n"/>
      <x:c r="I239" s="22" t="n"/>
      <x:c r="J239" s="22" t="n"/>
      <x:c r="K239" s="22" t="n"/>
      <x:c r="L239" s="22" t="n"/>
      <x:c r="M239" s="22" t="n"/>
      <x:c r="N239" s="22" t="n"/>
    </x:row>
    <x:row r="240">
      <x:c r="A240" s="22" t="n"/>
      <x:c r="B240" s="22" t="n"/>
      <x:c r="C240" s="22" t="n"/>
      <x:c r="D240" s="22" t="n"/>
      <x:c r="E240" s="23" t="n"/>
      <x:c r="F240" s="22" t="n"/>
      <x:c r="G240" s="22" t="n"/>
      <x:c r="H240" s="22" t="n"/>
      <x:c r="I240" s="22" t="n"/>
      <x:c r="J240" s="22" t="n"/>
      <x:c r="K240" s="22" t="n"/>
      <x:c r="L240" s="22" t="n"/>
      <x:c r="M240" s="22" t="n"/>
      <x:c r="N240" s="22" t="n"/>
    </x:row>
    <x:row r="241">
      <x:c r="A241" s="22" t="n"/>
      <x:c r="B241" s="22" t="n"/>
      <x:c r="C241" s="22" t="n"/>
      <x:c r="D241" s="22" t="n"/>
      <x:c r="E241" s="23" t="n"/>
      <x:c r="F241" s="22" t="n"/>
      <x:c r="G241" s="22" t="n"/>
      <x:c r="H241" s="22" t="n"/>
      <x:c r="I241" s="22" t="n"/>
      <x:c r="J241" s="22" t="n"/>
      <x:c r="K241" s="22" t="n"/>
      <x:c r="L241" s="22" t="n"/>
      <x:c r="M241" s="22" t="n"/>
      <x:c r="N241" s="22" t="n"/>
    </x:row>
    <x:row r="242">
      <x:c r="A242" s="22" t="n"/>
      <x:c r="B242" s="22" t="n"/>
      <x:c r="C242" s="22" t="n"/>
      <x:c r="D242" s="22" t="n"/>
      <x:c r="E242" s="23" t="n"/>
      <x:c r="F242" s="22" t="n"/>
      <x:c r="G242" s="22" t="n"/>
      <x:c r="H242" s="22" t="n"/>
      <x:c r="I242" s="22" t="n"/>
      <x:c r="J242" s="22" t="n"/>
      <x:c r="K242" s="22" t="n"/>
      <x:c r="L242" s="22" t="n"/>
      <x:c r="M242" s="22" t="n"/>
      <x:c r="N242" s="22" t="n"/>
    </x:row>
    <x:row r="243">
      <x:c r="A243" s="22" t="n"/>
      <x:c r="B243" s="22" t="n"/>
      <x:c r="C243" s="22" t="n"/>
      <x:c r="D243" s="22" t="n"/>
      <x:c r="E243" s="23" t="n"/>
      <x:c r="F243" s="22" t="n"/>
      <x:c r="G243" s="22" t="n"/>
      <x:c r="H243" s="22" t="n"/>
      <x:c r="I243" s="22" t="n"/>
      <x:c r="J243" s="22" t="n"/>
      <x:c r="K243" s="22" t="n"/>
      <x:c r="L243" s="22" t="n"/>
      <x:c r="M243" s="22" t="n"/>
      <x:c r="N243" s="22" t="n"/>
    </x:row>
    <x:row r="244">
      <x:c r="A244" s="22" t="n"/>
      <x:c r="B244" s="22" t="n"/>
      <x:c r="C244" s="22" t="n"/>
      <x:c r="D244" s="22" t="n"/>
      <x:c r="E244" s="23" t="n"/>
      <x:c r="F244" s="22" t="n"/>
      <x:c r="G244" s="22" t="n"/>
      <x:c r="H244" s="22" t="n"/>
      <x:c r="I244" s="22" t="n"/>
      <x:c r="J244" s="22" t="n"/>
      <x:c r="K244" s="22" t="n"/>
      <x:c r="L244" s="22" t="n"/>
      <x:c r="M244" s="22" t="n"/>
      <x:c r="N244" s="22" t="n"/>
    </x:row>
    <x:row r="245">
      <x:c r="A245" s="22" t="n"/>
      <x:c r="B245" s="22" t="n"/>
      <x:c r="C245" s="22" t="n"/>
      <x:c r="D245" s="22" t="n"/>
      <x:c r="E245" s="23" t="n"/>
      <x:c r="F245" s="22" t="n"/>
      <x:c r="G245" s="22" t="n"/>
      <x:c r="H245" s="22" t="n"/>
      <x:c r="I245" s="22" t="n"/>
      <x:c r="J245" s="22" t="n"/>
      <x:c r="K245" s="22" t="n"/>
      <x:c r="L245" s="22" t="n"/>
      <x:c r="M245" s="22" t="n"/>
      <x:c r="N245" s="22" t="n"/>
    </x:row>
    <x:row r="246">
      <x:c r="A246" s="22" t="n"/>
      <x:c r="B246" s="22" t="n"/>
      <x:c r="C246" s="22" t="n"/>
      <x:c r="D246" s="22" t="n"/>
      <x:c r="E246" s="23" t="n"/>
      <x:c r="F246" s="22" t="n"/>
      <x:c r="G246" s="22" t="n"/>
      <x:c r="H246" s="22" t="n"/>
      <x:c r="I246" s="22" t="n"/>
      <x:c r="J246" s="22" t="n"/>
      <x:c r="K246" s="22" t="n"/>
      <x:c r="L246" s="22" t="n"/>
      <x:c r="M246" s="22" t="n"/>
      <x:c r="N246" s="22" t="n"/>
    </x:row>
    <x:row r="247">
      <x:c r="A247" s="22" t="n"/>
      <x:c r="B247" s="22" t="n"/>
      <x:c r="C247" s="22" t="n"/>
      <x:c r="D247" s="22" t="n"/>
      <x:c r="E247" s="23" t="n"/>
      <x:c r="F247" s="22" t="n"/>
      <x:c r="G247" s="22" t="n"/>
      <x:c r="H247" s="22" t="n"/>
      <x:c r="I247" s="22" t="n"/>
      <x:c r="J247" s="22" t="n"/>
      <x:c r="K247" s="22" t="n"/>
      <x:c r="L247" s="22" t="n"/>
      <x:c r="M247" s="22" t="n"/>
      <x:c r="N247" s="22" t="n"/>
    </x:row>
    <x:row r="248">
      <x:c r="A248" s="22" t="n"/>
      <x:c r="B248" s="22" t="n"/>
      <x:c r="C248" s="22" t="n"/>
      <x:c r="D248" s="22" t="n"/>
      <x:c r="E248" s="23" t="n"/>
      <x:c r="F248" s="22" t="n"/>
      <x:c r="G248" s="22" t="n"/>
      <x:c r="H248" s="22" t="n"/>
      <x:c r="I248" s="22" t="n"/>
      <x:c r="J248" s="22" t="n"/>
      <x:c r="K248" s="22" t="n"/>
      <x:c r="L248" s="22" t="n"/>
      <x:c r="M248" s="22" t="n"/>
      <x:c r="N248" s="22" t="n"/>
    </x:row>
    <x:row r="249">
      <x:c r="A249" s="22" t="n"/>
      <x:c r="B249" s="22" t="n"/>
      <x:c r="C249" s="22" t="n"/>
      <x:c r="D249" s="22" t="n"/>
      <x:c r="E249" s="23" t="n"/>
      <x:c r="F249" s="22" t="n"/>
      <x:c r="G249" s="22" t="n"/>
      <x:c r="H249" s="22" t="n"/>
      <x:c r="I249" s="22" t="n"/>
      <x:c r="J249" s="22" t="n"/>
      <x:c r="K249" s="22" t="n"/>
      <x:c r="L249" s="22" t="n"/>
      <x:c r="M249" s="22" t="n"/>
      <x:c r="N249" s="22" t="n"/>
    </x:row>
    <x:row r="250">
      <x:c r="A250" s="22" t="n"/>
      <x:c r="B250" s="22" t="n"/>
      <x:c r="C250" s="22" t="n"/>
      <x:c r="D250" s="22" t="n"/>
      <x:c r="E250" s="23" t="n"/>
      <x:c r="F250" s="22" t="n"/>
      <x:c r="G250" s="22" t="n"/>
      <x:c r="H250" s="22" t="n"/>
      <x:c r="I250" s="22" t="n"/>
      <x:c r="J250" s="22" t="n"/>
      <x:c r="K250" s="22" t="n"/>
      <x:c r="L250" s="22" t="n"/>
      <x:c r="M250" s="22" t="n"/>
      <x:c r="N250" s="22" t="n"/>
    </x:row>
    <x:row r="251">
      <x:c r="A251" s="22" t="n"/>
      <x:c r="B251" s="22" t="n"/>
      <x:c r="C251" s="22" t="n"/>
      <x:c r="D251" s="22" t="n"/>
      <x:c r="E251" s="23" t="n"/>
      <x:c r="F251" s="22" t="n"/>
      <x:c r="G251" s="22" t="n"/>
      <x:c r="H251" s="22" t="n"/>
      <x:c r="I251" s="22" t="n"/>
      <x:c r="J251" s="22" t="n"/>
      <x:c r="K251" s="22" t="n"/>
      <x:c r="L251" s="22" t="n"/>
      <x:c r="M251" s="22" t="n"/>
      <x:c r="N251" s="22" t="n"/>
    </x:row>
    <x:row r="252">
      <x:c r="A252" s="22" t="n"/>
      <x:c r="B252" s="22" t="n"/>
      <x:c r="C252" s="22" t="n"/>
      <x:c r="D252" s="22" t="n"/>
      <x:c r="E252" s="23" t="n"/>
      <x:c r="F252" s="22" t="n"/>
      <x:c r="G252" s="22" t="n"/>
      <x:c r="H252" s="22" t="n"/>
      <x:c r="I252" s="22" t="n"/>
      <x:c r="J252" s="22" t="n"/>
      <x:c r="K252" s="22" t="n"/>
      <x:c r="L252" s="22" t="n"/>
      <x:c r="M252" s="22" t="n"/>
      <x:c r="N252" s="22" t="n"/>
    </x:row>
    <x:row r="253">
      <x:c r="A253" s="22" t="n"/>
      <x:c r="B253" s="22" t="n"/>
      <x:c r="C253" s="22" t="n"/>
      <x:c r="D253" s="22" t="n"/>
      <x:c r="E253" s="23" t="n"/>
      <x:c r="F253" s="22" t="n"/>
      <x:c r="G253" s="22" t="n"/>
      <x:c r="H253" s="22" t="n"/>
      <x:c r="I253" s="22" t="n"/>
      <x:c r="J253" s="22" t="n"/>
      <x:c r="K253" s="22" t="n"/>
      <x:c r="L253" s="22" t="n"/>
      <x:c r="M253" s="22" t="n"/>
      <x:c r="N253" s="22" t="n"/>
    </x:row>
    <x:row r="254">
      <x:c r="A254" s="22" t="n"/>
      <x:c r="B254" s="22" t="n"/>
      <x:c r="C254" s="22" t="n"/>
      <x:c r="D254" s="22" t="n"/>
      <x:c r="E254" s="23" t="n"/>
      <x:c r="F254" s="22" t="n"/>
      <x:c r="G254" s="22" t="n"/>
      <x:c r="H254" s="22" t="n"/>
      <x:c r="I254" s="22" t="n"/>
      <x:c r="J254" s="22" t="n"/>
      <x:c r="K254" s="22" t="n"/>
      <x:c r="L254" s="22" t="n"/>
      <x:c r="M254" s="22" t="n"/>
      <x:c r="N254" s="22" t="n"/>
    </x:row>
    <x:row r="255">
      <x:c r="A255" s="22" t="n"/>
      <x:c r="B255" s="22" t="n"/>
      <x:c r="C255" s="22" t="n"/>
      <x:c r="D255" s="22" t="n"/>
      <x:c r="E255" s="23" t="n"/>
      <x:c r="F255" s="22" t="n"/>
      <x:c r="G255" s="22" t="n"/>
      <x:c r="H255" s="22" t="n"/>
      <x:c r="I255" s="22" t="n"/>
      <x:c r="J255" s="22" t="n"/>
      <x:c r="K255" s="22" t="n"/>
      <x:c r="L255" s="22" t="n"/>
      <x:c r="M255" s="22" t="n"/>
      <x:c r="N255" s="22" t="n"/>
    </x:row>
    <x:row r="256">
      <x:c r="A256" s="22" t="n"/>
      <x:c r="B256" s="22" t="n"/>
      <x:c r="C256" s="22" t="n"/>
      <x:c r="D256" s="22" t="n"/>
      <x:c r="E256" s="23" t="n"/>
      <x:c r="F256" s="22" t="n"/>
      <x:c r="G256" s="22" t="n"/>
      <x:c r="H256" s="22" t="n"/>
      <x:c r="I256" s="22" t="n"/>
      <x:c r="J256" s="22" t="n"/>
      <x:c r="K256" s="22" t="n"/>
      <x:c r="L256" s="22" t="n"/>
      <x:c r="M256" s="22" t="n"/>
      <x:c r="N256" s="22" t="n"/>
    </x:row>
    <x:row r="257">
      <x:c r="A257" s="22" t="n"/>
      <x:c r="B257" s="22" t="n"/>
      <x:c r="C257" s="22" t="n"/>
      <x:c r="D257" s="22" t="n"/>
      <x:c r="E257" s="23" t="n"/>
      <x:c r="F257" s="22" t="n"/>
      <x:c r="G257" s="22" t="n"/>
      <x:c r="H257" s="22" t="n"/>
      <x:c r="I257" s="22" t="n"/>
      <x:c r="J257" s="22" t="n"/>
      <x:c r="K257" s="22" t="n"/>
      <x:c r="L257" s="22" t="n"/>
      <x:c r="M257" s="22" t="n"/>
      <x:c r="N257" s="22" t="n"/>
    </x:row>
    <x:row r="258">
      <x:c r="A258" s="22" t="n"/>
      <x:c r="B258" s="22" t="n"/>
      <x:c r="C258" s="22" t="n"/>
      <x:c r="D258" s="22" t="n"/>
      <x:c r="E258" s="23" t="n"/>
      <x:c r="F258" s="22" t="n"/>
      <x:c r="G258" s="22" t="n"/>
      <x:c r="H258" s="22" t="n"/>
      <x:c r="I258" s="22" t="n"/>
      <x:c r="J258" s="22" t="n"/>
      <x:c r="K258" s="22" t="n"/>
      <x:c r="L258" s="22" t="n"/>
      <x:c r="M258" s="22" t="n"/>
      <x:c r="N258" s="22" t="n"/>
    </x:row>
    <x:row r="259">
      <x:c r="A259" s="22" t="n"/>
      <x:c r="B259" s="22" t="n"/>
      <x:c r="C259" s="22" t="n"/>
      <x:c r="D259" s="22" t="n"/>
      <x:c r="E259" s="23" t="n"/>
      <x:c r="F259" s="22" t="n"/>
      <x:c r="G259" s="22" t="n"/>
      <x:c r="H259" s="22" t="n"/>
      <x:c r="I259" s="22" t="n"/>
      <x:c r="J259" s="22" t="n"/>
      <x:c r="K259" s="22" t="n"/>
      <x:c r="L259" s="22" t="n"/>
      <x:c r="M259" s="22" t="n"/>
      <x:c r="N259" s="22" t="n"/>
    </x:row>
    <x:row r="260">
      <x:c r="A260" s="22" t="n"/>
      <x:c r="B260" s="22" t="n"/>
      <x:c r="C260" s="22" t="n"/>
      <x:c r="D260" s="22" t="n"/>
      <x:c r="E260" s="23" t="n"/>
      <x:c r="F260" s="22" t="n"/>
      <x:c r="G260" s="22" t="n"/>
      <x:c r="H260" s="22" t="n"/>
      <x:c r="I260" s="22" t="n"/>
      <x:c r="J260" s="22" t="n"/>
      <x:c r="K260" s="22" t="n"/>
      <x:c r="L260" s="22" t="n"/>
      <x:c r="M260" s="22" t="n"/>
      <x:c r="N260" s="22" t="n"/>
    </x:row>
    <x:row r="261">
      <x:c r="A261" s="22" t="n"/>
      <x:c r="B261" s="22" t="n"/>
      <x:c r="C261" s="22" t="n"/>
      <x:c r="D261" s="22" t="n"/>
      <x:c r="E261" s="23" t="n"/>
      <x:c r="F261" s="22" t="n"/>
      <x:c r="G261" s="22" t="n"/>
      <x:c r="H261" s="22" t="n"/>
      <x:c r="I261" s="22" t="n"/>
      <x:c r="J261" s="22" t="n"/>
      <x:c r="K261" s="22" t="n"/>
      <x:c r="L261" s="22" t="n"/>
      <x:c r="M261" s="22" t="n"/>
      <x:c r="N261" s="22" t="n"/>
    </x:row>
    <x:row r="262">
      <x:c r="A262" s="22" t="n"/>
      <x:c r="B262" s="22" t="n"/>
      <x:c r="C262" s="22" t="n"/>
      <x:c r="D262" s="22" t="n"/>
      <x:c r="E262" s="23" t="n"/>
      <x:c r="F262" s="22" t="n"/>
      <x:c r="G262" s="22" t="n"/>
      <x:c r="H262" s="22" t="n"/>
      <x:c r="I262" s="22" t="n"/>
      <x:c r="J262" s="22" t="n"/>
      <x:c r="K262" s="22" t="n"/>
      <x:c r="L262" s="22" t="n"/>
      <x:c r="M262" s="22" t="n"/>
      <x:c r="N262" s="22" t="n"/>
    </x:row>
    <x:row r="263">
      <x:c r="A263" s="22" t="n"/>
      <x:c r="B263" s="22" t="n"/>
      <x:c r="C263" s="22" t="n"/>
      <x:c r="D263" s="22" t="n"/>
      <x:c r="E263" s="23" t="n"/>
      <x:c r="F263" s="22" t="n"/>
      <x:c r="G263" s="22" t="n"/>
      <x:c r="H263" s="22" t="n"/>
      <x:c r="I263" s="22" t="n"/>
      <x:c r="J263" s="22" t="n"/>
      <x:c r="K263" s="22" t="n"/>
      <x:c r="L263" s="22" t="n"/>
      <x:c r="M263" s="22" t="n"/>
      <x:c r="N263" s="22" t="n"/>
    </x:row>
    <x:row r="264">
      <x:c r="A264" s="22" t="n"/>
      <x:c r="B264" s="22" t="n"/>
      <x:c r="C264" s="22" t="n"/>
      <x:c r="D264" s="22" t="n"/>
      <x:c r="E264" s="23" t="n"/>
      <x:c r="F264" s="22" t="n"/>
      <x:c r="G264" s="22" t="n"/>
      <x:c r="H264" s="22" t="n"/>
      <x:c r="I264" s="22" t="n"/>
      <x:c r="J264" s="22" t="n"/>
      <x:c r="K264" s="22" t="n"/>
      <x:c r="L264" s="22" t="n"/>
      <x:c r="M264" s="22" t="n"/>
      <x:c r="N264" s="22" t="n"/>
    </x:row>
    <x:row r="265">
      <x:c r="A265" s="22" t="n"/>
      <x:c r="B265" s="22" t="n"/>
      <x:c r="C265" s="22" t="n"/>
      <x:c r="D265" s="22" t="n"/>
      <x:c r="E265" s="23" t="n"/>
      <x:c r="F265" s="22" t="n"/>
      <x:c r="G265" s="22" t="n"/>
      <x:c r="H265" s="22" t="n"/>
      <x:c r="I265" s="22" t="n"/>
      <x:c r="J265" s="22" t="n"/>
      <x:c r="K265" s="22" t="n"/>
      <x:c r="L265" s="22" t="n"/>
      <x:c r="M265" s="22" t="n"/>
      <x:c r="N265" s="22" t="n"/>
    </x:row>
    <x:row r="266">
      <x:c r="A266" s="22" t="n"/>
      <x:c r="B266" s="22" t="n"/>
      <x:c r="C266" s="22" t="n"/>
      <x:c r="D266" s="22" t="n"/>
      <x:c r="E266" s="23" t="n"/>
      <x:c r="F266" s="22" t="n"/>
      <x:c r="G266" s="22" t="n"/>
      <x:c r="H266" s="22" t="n"/>
      <x:c r="I266" s="22" t="n"/>
      <x:c r="J266" s="22" t="n"/>
      <x:c r="K266" s="22" t="n"/>
      <x:c r="L266" s="22" t="n"/>
      <x:c r="M266" s="22" t="n"/>
      <x:c r="N266" s="22" t="n"/>
    </x:row>
    <x:row r="267">
      <x:c r="A267" s="22" t="n"/>
      <x:c r="B267" s="22" t="n"/>
      <x:c r="C267" s="22" t="n"/>
      <x:c r="D267" s="22" t="n"/>
      <x:c r="E267" s="23" t="n"/>
      <x:c r="F267" s="22" t="n"/>
      <x:c r="G267" s="22" t="n"/>
      <x:c r="H267" s="22" t="n"/>
      <x:c r="I267" s="22" t="n"/>
      <x:c r="J267" s="22" t="n"/>
      <x:c r="K267" s="22" t="n"/>
      <x:c r="L267" s="22" t="n"/>
      <x:c r="M267" s="22" t="n"/>
      <x:c r="N267" s="22" t="n"/>
    </x:row>
    <x:row r="268">
      <x:c r="A268" s="22" t="n"/>
      <x:c r="B268" s="22" t="n"/>
      <x:c r="C268" s="22" t="n"/>
      <x:c r="D268" s="22" t="n"/>
      <x:c r="E268" s="23" t="n"/>
      <x:c r="F268" s="22" t="n"/>
      <x:c r="G268" s="22" t="n"/>
      <x:c r="H268" s="22" t="n"/>
      <x:c r="I268" s="22" t="n"/>
      <x:c r="J268" s="22" t="n"/>
      <x:c r="K268" s="22" t="n"/>
      <x:c r="L268" s="22" t="n"/>
      <x:c r="M268" s="22" t="n"/>
      <x:c r="N268" s="22" t="n"/>
    </x:row>
    <x:row r="269">
      <x:c r="A269" s="22" t="n"/>
      <x:c r="B269" s="22" t="n"/>
      <x:c r="C269" s="22" t="n"/>
      <x:c r="D269" s="22" t="n"/>
      <x:c r="E269" s="23" t="n"/>
      <x:c r="F269" s="22" t="n"/>
      <x:c r="G269" s="22" t="n"/>
      <x:c r="H269" s="22" t="n"/>
      <x:c r="I269" s="22" t="n"/>
      <x:c r="J269" s="22" t="n"/>
      <x:c r="K269" s="22" t="n"/>
      <x:c r="L269" s="22" t="n"/>
      <x:c r="M269" s="22" t="n"/>
      <x:c r="N269" s="22" t="n"/>
    </x:row>
    <x:row r="270">
      <x:c r="A270" s="22" t="n"/>
      <x:c r="B270" s="22" t="n"/>
      <x:c r="C270" s="22" t="n"/>
      <x:c r="D270" s="22" t="n"/>
      <x:c r="E270" s="23" t="n"/>
      <x:c r="F270" s="22" t="n"/>
      <x:c r="G270" s="22" t="n"/>
      <x:c r="H270" s="22" t="n"/>
      <x:c r="I270" s="22" t="n"/>
      <x:c r="J270" s="22" t="n"/>
      <x:c r="K270" s="22" t="n"/>
      <x:c r="L270" s="22" t="n"/>
      <x:c r="M270" s="22" t="n"/>
      <x:c r="N270" s="22" t="n"/>
    </x:row>
    <x:row r="271">
      <x:c r="A271" s="22" t="n"/>
      <x:c r="B271" s="22" t="n"/>
      <x:c r="C271" s="22" t="n"/>
      <x:c r="D271" s="22" t="n"/>
      <x:c r="E271" s="23" t="n"/>
      <x:c r="F271" s="22" t="n"/>
      <x:c r="G271" s="22" t="n"/>
      <x:c r="H271" s="22" t="n"/>
      <x:c r="I271" s="22" t="n"/>
      <x:c r="J271" s="22" t="n"/>
      <x:c r="K271" s="22" t="n"/>
      <x:c r="L271" s="22" t="n"/>
      <x:c r="M271" s="22" t="n"/>
      <x:c r="N271" s="22" t="n"/>
    </x:row>
    <x:row r="272">
      <x:c r="A272" s="22" t="n"/>
      <x:c r="B272" s="22" t="n"/>
      <x:c r="C272" s="22" t="n"/>
      <x:c r="D272" s="22" t="n"/>
      <x:c r="E272" s="23" t="n"/>
      <x:c r="F272" s="22" t="n"/>
      <x:c r="G272" s="22" t="n"/>
      <x:c r="H272" s="22" t="n"/>
      <x:c r="I272" s="22" t="n"/>
      <x:c r="J272" s="22" t="n"/>
      <x:c r="K272" s="22" t="n"/>
      <x:c r="L272" s="22" t="n"/>
      <x:c r="M272" s="22" t="n"/>
      <x:c r="N272" s="22" t="n"/>
    </x:row>
    <x:row r="273">
      <x:c r="A273" s="22" t="n"/>
      <x:c r="B273" s="22" t="n"/>
      <x:c r="C273" s="22" t="n"/>
      <x:c r="D273" s="22" t="n"/>
      <x:c r="E273" s="23" t="n"/>
      <x:c r="F273" s="22" t="n"/>
      <x:c r="G273" s="22" t="n"/>
      <x:c r="H273" s="22" t="n"/>
      <x:c r="I273" s="22" t="n"/>
      <x:c r="J273" s="22" t="n"/>
      <x:c r="K273" s="22" t="n"/>
      <x:c r="L273" s="22" t="n"/>
      <x:c r="M273" s="22" t="n"/>
      <x:c r="N273" s="22" t="n"/>
    </x:row>
    <x:row r="274">
      <x:c r="A274" s="22" t="n"/>
      <x:c r="B274" s="22" t="n"/>
      <x:c r="C274" s="22" t="n"/>
      <x:c r="D274" s="22" t="n"/>
      <x:c r="E274" s="23" t="n"/>
      <x:c r="F274" s="22" t="n"/>
      <x:c r="G274" s="22" t="n"/>
      <x:c r="H274" s="22" t="n"/>
      <x:c r="I274" s="22" t="n"/>
      <x:c r="J274" s="22" t="n"/>
      <x:c r="K274" s="22" t="n"/>
      <x:c r="L274" s="22" t="n"/>
      <x:c r="M274" s="22" t="n"/>
      <x:c r="N274" s="22" t="n"/>
    </x:row>
    <x:row r="275">
      <x:c r="A275" s="22" t="n"/>
      <x:c r="B275" s="22" t="n"/>
      <x:c r="C275" s="22" t="n"/>
      <x:c r="D275" s="22" t="n"/>
      <x:c r="E275" s="23" t="n"/>
      <x:c r="F275" s="22" t="n"/>
      <x:c r="G275" s="22" t="n"/>
      <x:c r="H275" s="22" t="n"/>
      <x:c r="I275" s="22" t="n"/>
      <x:c r="J275" s="22" t="n"/>
      <x:c r="K275" s="22" t="n"/>
      <x:c r="L275" s="22" t="n"/>
      <x:c r="M275" s="22" t="n"/>
      <x:c r="N275" s="22" t="n"/>
    </x:row>
    <x:row r="276">
      <x:c r="A276" s="22" t="n"/>
      <x:c r="B276" s="22" t="n"/>
      <x:c r="C276" s="22" t="n"/>
      <x:c r="D276" s="22" t="n"/>
      <x:c r="E276" s="23" t="n"/>
      <x:c r="F276" s="22" t="n"/>
      <x:c r="G276" s="22" t="n"/>
      <x:c r="H276" s="22" t="n"/>
      <x:c r="I276" s="22" t="n"/>
      <x:c r="J276" s="22" t="n"/>
      <x:c r="K276" s="22" t="n"/>
      <x:c r="L276" s="22" t="n"/>
      <x:c r="M276" s="22" t="n"/>
      <x:c r="N276" s="22" t="n"/>
    </x:row>
    <x:row r="277">
      <x:c r="A277" s="22" t="n"/>
      <x:c r="B277" s="22" t="n"/>
      <x:c r="C277" s="22" t="n"/>
      <x:c r="D277" s="22" t="n"/>
      <x:c r="E277" s="23" t="n"/>
      <x:c r="F277" s="22" t="n"/>
      <x:c r="G277" s="22" t="n"/>
      <x:c r="H277" s="22" t="n"/>
      <x:c r="I277" s="22" t="n"/>
      <x:c r="J277" s="22" t="n"/>
      <x:c r="K277" s="22" t="n"/>
      <x:c r="L277" s="22" t="n"/>
      <x:c r="M277" s="22" t="n"/>
      <x:c r="N277" s="22" t="n"/>
    </x:row>
    <x:row r="278">
      <x:c r="A278" s="22" t="n"/>
      <x:c r="B278" s="22" t="n"/>
      <x:c r="C278" s="22" t="n"/>
      <x:c r="D278" s="22" t="n"/>
      <x:c r="E278" s="23" t="n"/>
      <x:c r="F278" s="22" t="n"/>
      <x:c r="G278" s="22" t="n"/>
      <x:c r="H278" s="22" t="n"/>
      <x:c r="I278" s="22" t="n"/>
      <x:c r="J278" s="22" t="n"/>
      <x:c r="K278" s="22" t="n"/>
      <x:c r="L278" s="22" t="n"/>
      <x:c r="M278" s="22" t="n"/>
      <x:c r="N278" s="22" t="n"/>
    </x:row>
    <x:row r="279">
      <x:c r="A279" s="22" t="n"/>
      <x:c r="B279" s="22" t="n"/>
      <x:c r="C279" s="22" t="n"/>
      <x:c r="D279" s="22" t="n"/>
      <x:c r="E279" s="23" t="n"/>
      <x:c r="F279" s="22" t="n"/>
      <x:c r="G279" s="22" t="n"/>
      <x:c r="H279" s="22" t="n"/>
      <x:c r="I279" s="22" t="n"/>
      <x:c r="J279" s="22" t="n"/>
      <x:c r="K279" s="22" t="n"/>
      <x:c r="L279" s="22" t="n"/>
      <x:c r="M279" s="22" t="n"/>
      <x:c r="N279" s="22" t="n"/>
    </x:row>
    <x:row r="280">
      <x:c r="A280" s="22" t="n"/>
      <x:c r="B280" s="22" t="n"/>
      <x:c r="C280" s="22" t="n"/>
      <x:c r="D280" s="22" t="n"/>
      <x:c r="E280" s="23" t="n"/>
      <x:c r="F280" s="22" t="n"/>
      <x:c r="G280" s="22" t="n"/>
      <x:c r="H280" s="22" t="n"/>
      <x:c r="I280" s="22" t="n"/>
      <x:c r="J280" s="22" t="n"/>
      <x:c r="K280" s="22" t="n"/>
      <x:c r="L280" s="22" t="n"/>
      <x:c r="M280" s="22" t="n"/>
      <x:c r="N280" s="22" t="n"/>
    </x:row>
    <x:row r="281">
      <x:c r="A281" s="22" t="n"/>
      <x:c r="B281" s="22" t="n"/>
      <x:c r="C281" s="22" t="n"/>
      <x:c r="D281" s="22" t="n"/>
      <x:c r="E281" s="23" t="n"/>
      <x:c r="F281" s="22" t="n"/>
      <x:c r="G281" s="22" t="n"/>
      <x:c r="H281" s="22" t="n"/>
      <x:c r="I281" s="22" t="n"/>
      <x:c r="J281" s="22" t="n"/>
      <x:c r="K281" s="22" t="n"/>
      <x:c r="L281" s="22" t="n"/>
      <x:c r="M281" s="22" t="n"/>
      <x:c r="N281" s="22" t="n"/>
    </x:row>
    <x:row r="282">
      <x:c r="A282" s="22" t="n"/>
      <x:c r="B282" s="22" t="n"/>
      <x:c r="C282" s="22" t="n"/>
      <x:c r="D282" s="22" t="n"/>
      <x:c r="E282" s="23" t="n"/>
      <x:c r="F282" s="22" t="n"/>
      <x:c r="G282" s="22" t="n"/>
      <x:c r="H282" s="22" t="n"/>
      <x:c r="I282" s="22" t="n"/>
      <x:c r="J282" s="22" t="n"/>
      <x:c r="K282" s="22" t="n"/>
      <x:c r="L282" s="22" t="n"/>
      <x:c r="M282" s="22" t="n"/>
      <x:c r="N282" s="22" t="n"/>
    </x:row>
    <x:row r="283">
      <x:c r="A283" s="22" t="n"/>
      <x:c r="B283" s="22" t="n"/>
      <x:c r="C283" s="22" t="n"/>
      <x:c r="D283" s="22" t="n"/>
      <x:c r="E283" s="23" t="n"/>
      <x:c r="F283" s="22" t="n"/>
      <x:c r="G283" s="22" t="n"/>
      <x:c r="H283" s="22" t="n"/>
      <x:c r="I283" s="22" t="n"/>
      <x:c r="J283" s="22" t="n"/>
      <x:c r="K283" s="22" t="n"/>
      <x:c r="L283" s="22" t="n"/>
      <x:c r="M283" s="22" t="n"/>
      <x:c r="N283" s="22" t="n"/>
    </x:row>
    <x:row r="284">
      <x:c r="A284" s="22" t="n"/>
      <x:c r="B284" s="22" t="n"/>
      <x:c r="C284" s="22" t="n"/>
      <x:c r="D284" s="22" t="n"/>
      <x:c r="E284" s="23" t="n"/>
      <x:c r="F284" s="22" t="n"/>
      <x:c r="G284" s="22" t="n"/>
      <x:c r="H284" s="22" t="n"/>
      <x:c r="I284" s="22" t="n"/>
      <x:c r="J284" s="22" t="n"/>
      <x:c r="K284" s="22" t="n"/>
      <x:c r="L284" s="22" t="n"/>
      <x:c r="M284" s="22" t="n"/>
      <x:c r="N284" s="22" t="n"/>
    </x:row>
    <x:row r="285">
      <x:c r="A285" s="22" t="n"/>
      <x:c r="B285" s="22" t="n"/>
      <x:c r="C285" s="22" t="n"/>
      <x:c r="D285" s="22" t="n"/>
      <x:c r="E285" s="23" t="n"/>
      <x:c r="F285" s="22" t="n"/>
      <x:c r="G285" s="22" t="n"/>
      <x:c r="H285" s="22" t="n"/>
      <x:c r="I285" s="22" t="n"/>
      <x:c r="J285" s="22" t="n"/>
      <x:c r="K285" s="22" t="n"/>
      <x:c r="L285" s="22" t="n"/>
      <x:c r="M285" s="22" t="n"/>
      <x:c r="N285" s="22" t="n"/>
    </x:row>
    <x:row r="286">
      <x:c r="A286" s="22" t="n"/>
      <x:c r="B286" s="22" t="n"/>
      <x:c r="C286" s="22" t="n"/>
      <x:c r="D286" s="22" t="n"/>
      <x:c r="E286" s="23" t="n"/>
      <x:c r="F286" s="22" t="n"/>
      <x:c r="G286" s="22" t="n"/>
      <x:c r="H286" s="22" t="n"/>
      <x:c r="I286" s="22" t="n"/>
      <x:c r="J286" s="22" t="n"/>
      <x:c r="K286" s="22" t="n"/>
      <x:c r="L286" s="22" t="n"/>
      <x:c r="M286" s="22" t="n"/>
      <x:c r="N286" s="22" t="n"/>
    </x:row>
    <x:row r="287">
      <x:c r="A287" s="22" t="n"/>
      <x:c r="B287" s="22" t="n"/>
      <x:c r="C287" s="22" t="n"/>
      <x:c r="D287" s="22" t="n"/>
      <x:c r="E287" s="23" t="n"/>
      <x:c r="F287" s="22" t="n"/>
      <x:c r="G287" s="22" t="n"/>
      <x:c r="H287" s="22" t="n"/>
      <x:c r="I287" s="22" t="n"/>
      <x:c r="J287" s="22" t="n"/>
      <x:c r="K287" s="22" t="n"/>
      <x:c r="L287" s="22" t="n"/>
      <x:c r="M287" s="22" t="n"/>
      <x:c r="N287" s="22" t="n"/>
    </x:row>
    <x:row r="288">
      <x:c r="A288" s="22" t="n"/>
      <x:c r="B288" s="22" t="n"/>
      <x:c r="C288" s="22" t="n"/>
      <x:c r="D288" s="22" t="n"/>
      <x:c r="E288" s="23" t="n"/>
      <x:c r="F288" s="22" t="n"/>
      <x:c r="G288" s="22" t="n"/>
      <x:c r="H288" s="22" t="n"/>
      <x:c r="I288" s="22" t="n"/>
      <x:c r="J288" s="22" t="n"/>
      <x:c r="K288" s="22" t="n"/>
      <x:c r="L288" s="22" t="n"/>
      <x:c r="M288" s="22" t="n"/>
      <x:c r="N288" s="22" t="n"/>
    </x:row>
    <x:row r="289">
      <x:c r="A289" s="22" t="n"/>
      <x:c r="B289" s="22" t="n"/>
      <x:c r="C289" s="22" t="n"/>
      <x:c r="D289" s="22" t="n"/>
      <x:c r="E289" s="23" t="n"/>
      <x:c r="F289" s="22" t="n"/>
      <x:c r="G289" s="22" t="n"/>
      <x:c r="H289" s="22" t="n"/>
      <x:c r="I289" s="22" t="n"/>
      <x:c r="J289" s="22" t="n"/>
      <x:c r="K289" s="22" t="n"/>
      <x:c r="L289" s="22" t="n"/>
      <x:c r="M289" s="22" t="n"/>
      <x:c r="N289" s="22" t="n"/>
    </x:row>
    <x:row r="290">
      <x:c r="A290" s="22" t="n"/>
      <x:c r="B290" s="22" t="n"/>
      <x:c r="C290" s="22" t="n"/>
      <x:c r="D290" s="22" t="n"/>
      <x:c r="E290" s="23" t="n"/>
      <x:c r="F290" s="22" t="n"/>
      <x:c r="G290" s="22" t="n"/>
      <x:c r="H290" s="22" t="n"/>
      <x:c r="I290" s="22" t="n"/>
      <x:c r="J290" s="22" t="n"/>
      <x:c r="K290" s="22" t="n"/>
      <x:c r="L290" s="22" t="n"/>
      <x:c r="M290" s="22" t="n"/>
      <x:c r="N290" s="22" t="n"/>
    </x:row>
    <x:row r="291">
      <x:c r="A291" s="22" t="n"/>
      <x:c r="B291" s="22" t="n"/>
      <x:c r="C291" s="22" t="n"/>
      <x:c r="D291" s="22" t="n"/>
      <x:c r="E291" s="23" t="n"/>
      <x:c r="F291" s="22" t="n"/>
      <x:c r="G291" s="22" t="n"/>
      <x:c r="H291" s="22" t="n"/>
      <x:c r="I291" s="22" t="n"/>
      <x:c r="J291" s="22" t="n"/>
      <x:c r="K291" s="22" t="n"/>
      <x:c r="L291" s="22" t="n"/>
      <x:c r="M291" s="22" t="n"/>
      <x:c r="N291" s="22" t="n"/>
    </x:row>
    <x:row r="292">
      <x:c r="A292" s="22" t="n"/>
      <x:c r="B292" s="22" t="n"/>
      <x:c r="C292" s="22" t="n"/>
      <x:c r="D292" s="22" t="n"/>
      <x:c r="E292" s="23" t="n"/>
      <x:c r="F292" s="22" t="n"/>
      <x:c r="G292" s="22" t="n"/>
      <x:c r="H292" s="22" t="n"/>
      <x:c r="I292" s="22" t="n"/>
      <x:c r="J292" s="22" t="n"/>
      <x:c r="K292" s="22" t="n"/>
      <x:c r="L292" s="22" t="n"/>
      <x:c r="M292" s="22" t="n"/>
      <x:c r="N292" s="22" t="n"/>
    </x:row>
    <x:row r="293">
      <x:c r="A293" s="22" t="n"/>
      <x:c r="B293" s="22" t="n"/>
      <x:c r="C293" s="22" t="n"/>
      <x:c r="D293" s="22" t="n"/>
      <x:c r="E293" s="23" t="n"/>
      <x:c r="F293" s="22" t="n"/>
      <x:c r="G293" s="22" t="n"/>
      <x:c r="H293" s="22" t="n"/>
      <x:c r="I293" s="22" t="n"/>
      <x:c r="J293" s="22" t="n"/>
      <x:c r="K293" s="22" t="n"/>
      <x:c r="L293" s="22" t="n"/>
      <x:c r="M293" s="22" t="n"/>
      <x:c r="N293" s="22" t="n"/>
    </x:row>
    <x:row r="294">
      <x:c r="A294" s="22" t="n"/>
      <x:c r="B294" s="22" t="n"/>
      <x:c r="C294" s="22" t="n"/>
      <x:c r="D294" s="22" t="n"/>
      <x:c r="E294" s="23" t="n"/>
      <x:c r="F294" s="22" t="n"/>
      <x:c r="G294" s="22" t="n"/>
      <x:c r="H294" s="22" t="n"/>
      <x:c r="I294" s="22" t="n"/>
      <x:c r="J294" s="22" t="n"/>
      <x:c r="K294" s="22" t="n"/>
      <x:c r="L294" s="22" t="n"/>
      <x:c r="M294" s="22" t="n"/>
      <x:c r="N294" s="22" t="n"/>
    </x:row>
    <x:row r="295">
      <x:c r="A295" s="22" t="n"/>
      <x:c r="B295" s="22" t="n"/>
      <x:c r="C295" s="22" t="n"/>
      <x:c r="D295" s="22" t="n"/>
      <x:c r="E295" s="23" t="n"/>
      <x:c r="F295" s="22" t="n"/>
      <x:c r="G295" s="22" t="n"/>
      <x:c r="H295" s="22" t="n"/>
      <x:c r="I295" s="22" t="n"/>
      <x:c r="J295" s="22" t="n"/>
      <x:c r="K295" s="22" t="n"/>
      <x:c r="L295" s="22" t="n"/>
      <x:c r="M295" s="22" t="n"/>
      <x:c r="N295" s="22" t="n"/>
    </x:row>
    <x:row r="296">
      <x:c r="A296" s="22" t="n"/>
      <x:c r="B296" s="22" t="n"/>
      <x:c r="C296" s="22" t="n"/>
      <x:c r="D296" s="22" t="n"/>
      <x:c r="E296" s="23" t="n"/>
      <x:c r="F296" s="22" t="n"/>
      <x:c r="G296" s="22" t="n"/>
      <x:c r="H296" s="22" t="n"/>
      <x:c r="I296" s="22" t="n"/>
      <x:c r="J296" s="22" t="n"/>
      <x:c r="K296" s="22" t="n"/>
      <x:c r="L296" s="22" t="n"/>
      <x:c r="M296" s="22" t="n"/>
      <x:c r="N296" s="22" t="n"/>
    </x:row>
    <x:row r="297">
      <x:c r="A297" s="22" t="n"/>
      <x:c r="B297" s="22" t="n"/>
      <x:c r="C297" s="22" t="n"/>
      <x:c r="D297" s="22" t="n"/>
      <x:c r="E297" s="23" t="n"/>
      <x:c r="F297" s="22" t="n"/>
      <x:c r="G297" s="22" t="n"/>
      <x:c r="H297" s="22" t="n"/>
      <x:c r="I297" s="22" t="n"/>
      <x:c r="J297" s="22" t="n"/>
      <x:c r="K297" s="22" t="n"/>
      <x:c r="L297" s="22" t="n"/>
      <x:c r="M297" s="22" t="n"/>
      <x:c r="N297" s="22" t="n"/>
    </x:row>
    <x:row r="298">
      <x:c r="A298" s="22" t="n"/>
      <x:c r="B298" s="22" t="n"/>
      <x:c r="C298" s="22" t="n"/>
      <x:c r="D298" s="22" t="n"/>
      <x:c r="E298" s="23" t="n"/>
      <x:c r="F298" s="22" t="n"/>
      <x:c r="G298" s="22" t="n"/>
      <x:c r="H298" s="22" t="n"/>
      <x:c r="I298" s="22" t="n"/>
      <x:c r="J298" s="22" t="n"/>
      <x:c r="K298" s="22" t="n"/>
      <x:c r="L298" s="22" t="n"/>
      <x:c r="M298" s="22" t="n"/>
      <x:c r="N298" s="22" t="n"/>
    </x:row>
    <x:row r="299">
      <x:c r="A299" s="22" t="n"/>
      <x:c r="B299" s="22" t="n"/>
      <x:c r="C299" s="22" t="n"/>
      <x:c r="D299" s="22" t="n"/>
      <x:c r="E299" s="23" t="n"/>
      <x:c r="F299" s="22" t="n"/>
      <x:c r="G299" s="22" t="n"/>
      <x:c r="H299" s="22" t="n"/>
      <x:c r="I299" s="22" t="n"/>
      <x:c r="J299" s="22" t="n"/>
      <x:c r="K299" s="22" t="n"/>
      <x:c r="L299" s="22" t="n"/>
      <x:c r="M299" s="22" t="n"/>
      <x:c r="N299" s="22" t="n"/>
    </x:row>
    <x:row r="300">
      <x:c r="A300" s="22" t="n"/>
      <x:c r="B300" s="22" t="n"/>
      <x:c r="C300" s="22" t="n"/>
      <x:c r="D300" s="22" t="n"/>
      <x:c r="E300" s="23" t="n"/>
      <x:c r="F300" s="22" t="n"/>
      <x:c r="G300" s="22" t="n"/>
      <x:c r="H300" s="22" t="n"/>
      <x:c r="I300" s="22" t="n"/>
      <x:c r="J300" s="22" t="n"/>
      <x:c r="K300" s="22" t="n"/>
      <x:c r="L300" s="22" t="n"/>
      <x:c r="M300" s="22" t="n"/>
      <x:c r="N300" s="22" t="n"/>
    </x:row>
    <x:row r="301">
      <x:c r="A301" s="22" t="n"/>
      <x:c r="B301" s="22" t="n"/>
      <x:c r="C301" s="22" t="n"/>
      <x:c r="D301" s="22" t="n"/>
      <x:c r="E301" s="23" t="n"/>
      <x:c r="F301" s="22" t="n"/>
      <x:c r="G301" s="22" t="n"/>
      <x:c r="H301" s="22" t="n"/>
      <x:c r="I301" s="22" t="n"/>
      <x:c r="J301" s="22" t="n"/>
      <x:c r="K301" s="22" t="n"/>
      <x:c r="L301" s="22" t="n"/>
      <x:c r="M301" s="22" t="n"/>
      <x:c r="N301" s="22" t="n"/>
    </x:row>
    <x:row r="302">
      <x:c r="A302" s="22" t="n"/>
      <x:c r="B302" s="22" t="n"/>
      <x:c r="C302" s="22" t="n"/>
      <x:c r="D302" s="22" t="n"/>
      <x:c r="E302" s="23" t="n"/>
      <x:c r="F302" s="22" t="n"/>
      <x:c r="G302" s="22" t="n"/>
      <x:c r="H302" s="22" t="n"/>
      <x:c r="I302" s="22" t="n"/>
      <x:c r="J302" s="22" t="n"/>
      <x:c r="K302" s="22" t="n"/>
      <x:c r="L302" s="22" t="n"/>
      <x:c r="M302" s="22" t="n"/>
      <x:c r="N302" s="22" t="n"/>
    </x:row>
    <x:row r="303">
      <x:c r="A303" s="22" t="n"/>
      <x:c r="B303" s="22" t="n"/>
      <x:c r="C303" s="22" t="n"/>
      <x:c r="D303" s="22" t="n"/>
      <x:c r="E303" s="23" t="n"/>
      <x:c r="F303" s="22" t="n"/>
      <x:c r="G303" s="22" t="n"/>
      <x:c r="H303" s="22" t="n"/>
      <x:c r="I303" s="22" t="n"/>
      <x:c r="J303" s="22" t="n"/>
      <x:c r="K303" s="22" t="n"/>
      <x:c r="L303" s="22" t="n"/>
      <x:c r="M303" s="22" t="n"/>
      <x:c r="N303" s="22" t="n"/>
    </x:row>
    <x:row r="304">
      <x:c r="A304" s="22" t="n"/>
      <x:c r="B304" s="22" t="n"/>
      <x:c r="C304" s="22" t="n"/>
      <x:c r="D304" s="22" t="n"/>
      <x:c r="E304" s="23" t="n"/>
      <x:c r="F304" s="22" t="n"/>
      <x:c r="G304" s="22" t="n"/>
      <x:c r="H304" s="22" t="n"/>
      <x:c r="I304" s="22" t="n"/>
      <x:c r="J304" s="22" t="n"/>
      <x:c r="K304" s="22" t="n"/>
      <x:c r="L304" s="22" t="n"/>
      <x:c r="M304" s="22" t="n"/>
      <x:c r="N304" s="22" t="n"/>
    </x:row>
    <x:row r="305">
      <x:c r="A305" s="22" t="n"/>
      <x:c r="B305" s="22" t="n"/>
      <x:c r="C305" s="22" t="n"/>
      <x:c r="D305" s="22" t="n"/>
      <x:c r="E305" s="23" t="n"/>
      <x:c r="F305" s="22" t="n"/>
      <x:c r="G305" s="22" t="n"/>
      <x:c r="H305" s="22" t="n"/>
      <x:c r="I305" s="22" t="n"/>
      <x:c r="J305" s="22" t="n"/>
      <x:c r="K305" s="22" t="n"/>
      <x:c r="L305" s="22" t="n"/>
      <x:c r="M305" s="22" t="n"/>
      <x:c r="N305" s="22" t="n"/>
    </x:row>
    <x:row r="306">
      <x:c r="A306" s="22" t="n"/>
      <x:c r="B306" s="22" t="n"/>
      <x:c r="C306" s="22" t="n"/>
      <x:c r="D306" s="22" t="n"/>
      <x:c r="E306" s="23" t="n"/>
      <x:c r="F306" s="22" t="n"/>
      <x:c r="G306" s="22" t="n"/>
      <x:c r="H306" s="22" t="n"/>
      <x:c r="I306" s="22" t="n"/>
      <x:c r="J306" s="22" t="n"/>
      <x:c r="K306" s="22" t="n"/>
      <x:c r="L306" s="22" t="n"/>
      <x:c r="M306" s="22" t="n"/>
      <x:c r="N306" s="22" t="n"/>
    </x:row>
    <x:row r="307">
      <x:c r="A307" s="22" t="n"/>
      <x:c r="B307" s="22" t="n"/>
      <x:c r="C307" s="22" t="n"/>
      <x:c r="D307" s="22" t="n"/>
      <x:c r="E307" s="23" t="n"/>
      <x:c r="F307" s="22" t="n"/>
      <x:c r="G307" s="22" t="n"/>
      <x:c r="H307" s="22" t="n"/>
      <x:c r="I307" s="22" t="n"/>
      <x:c r="J307" s="22" t="n"/>
      <x:c r="K307" s="22" t="n"/>
      <x:c r="L307" s="22" t="n"/>
      <x:c r="M307" s="22" t="n"/>
      <x:c r="N307" s="22" t="n"/>
    </x:row>
    <x:row r="308">
      <x:c r="A308" s="22" t="n"/>
      <x:c r="B308" s="22" t="n"/>
      <x:c r="C308" s="22" t="n"/>
      <x:c r="D308" s="22" t="n"/>
      <x:c r="E308" s="23" t="n"/>
      <x:c r="F308" s="22" t="n"/>
      <x:c r="G308" s="22" t="n"/>
      <x:c r="H308" s="22" t="n"/>
      <x:c r="I308" s="22" t="n"/>
      <x:c r="J308" s="22" t="n"/>
      <x:c r="K308" s="22" t="n"/>
      <x:c r="L308" s="22" t="n"/>
      <x:c r="M308" s="22" t="n"/>
      <x:c r="N308" s="22" t="n"/>
    </x:row>
    <x:row r="309">
      <x:c r="A309" s="22" t="n"/>
      <x:c r="B309" s="22" t="n"/>
      <x:c r="C309" s="22" t="n"/>
      <x:c r="D309" s="22" t="n"/>
      <x:c r="E309" s="23" t="n"/>
      <x:c r="F309" s="22" t="n"/>
      <x:c r="G309" s="22" t="n"/>
      <x:c r="H309" s="22" t="n"/>
      <x:c r="I309" s="22" t="n"/>
      <x:c r="J309" s="22" t="n"/>
      <x:c r="K309" s="22" t="n"/>
      <x:c r="L309" s="22" t="n"/>
      <x:c r="M309" s="22" t="n"/>
      <x:c r="N309" s="22" t="n"/>
    </x:row>
    <x:row r="310">
      <x:c r="A310" s="22" t="n"/>
      <x:c r="B310" s="22" t="n"/>
      <x:c r="C310" s="22" t="n"/>
      <x:c r="D310" s="22" t="n"/>
      <x:c r="E310" s="23" t="n"/>
      <x:c r="F310" s="22" t="n"/>
      <x:c r="G310" s="22" t="n"/>
      <x:c r="H310" s="22" t="n"/>
      <x:c r="I310" s="22" t="n"/>
      <x:c r="J310" s="22" t="n"/>
      <x:c r="K310" s="22" t="n"/>
      <x:c r="L310" s="22" t="n"/>
      <x:c r="M310" s="22" t="n"/>
      <x:c r="N310" s="22" t="n"/>
    </x:row>
    <x:row r="311">
      <x:c r="A311" s="22" t="n"/>
      <x:c r="B311" s="22" t="n"/>
      <x:c r="C311" s="22" t="n"/>
      <x:c r="D311" s="22" t="n"/>
      <x:c r="E311" s="23" t="n"/>
      <x:c r="F311" s="22" t="n"/>
      <x:c r="G311" s="22" t="n"/>
      <x:c r="H311" s="22" t="n"/>
      <x:c r="I311" s="22" t="n"/>
      <x:c r="J311" s="22" t="n"/>
      <x:c r="K311" s="22" t="n"/>
      <x:c r="L311" s="22" t="n"/>
      <x:c r="M311" s="22" t="n"/>
      <x:c r="N311" s="22" t="n"/>
    </x:row>
    <x:row r="312">
      <x:c r="A312" s="22" t="n"/>
      <x:c r="B312" s="22" t="n"/>
      <x:c r="C312" s="22" t="n"/>
      <x:c r="D312" s="22" t="n"/>
      <x:c r="E312" s="23" t="n"/>
      <x:c r="F312" s="22" t="n"/>
      <x:c r="G312" s="22" t="n"/>
      <x:c r="H312" s="22" t="n"/>
      <x:c r="I312" s="22" t="n"/>
      <x:c r="J312" s="22" t="n"/>
      <x:c r="K312" s="22" t="n"/>
      <x:c r="L312" s="22" t="n"/>
      <x:c r="M312" s="22" t="n"/>
      <x:c r="N312" s="22" t="n"/>
    </x:row>
    <x:row r="313">
      <x:c r="A313" s="22" t="n"/>
      <x:c r="B313" s="22" t="n"/>
      <x:c r="C313" s="22" t="n"/>
      <x:c r="D313" s="22" t="n"/>
      <x:c r="E313" s="23" t="n"/>
      <x:c r="F313" s="22" t="n"/>
      <x:c r="G313" s="22" t="n"/>
      <x:c r="H313" s="22" t="n"/>
      <x:c r="I313" s="22" t="n"/>
      <x:c r="J313" s="22" t="n"/>
      <x:c r="K313" s="22" t="n"/>
      <x:c r="L313" s="22" t="n"/>
      <x:c r="M313" s="22" t="n"/>
      <x:c r="N313" s="22" t="n"/>
    </x:row>
    <x:row r="314">
      <x:c r="A314" s="22" t="n"/>
      <x:c r="B314" s="22" t="n"/>
      <x:c r="C314" s="22" t="n"/>
      <x:c r="D314" s="22" t="n"/>
      <x:c r="E314" s="23" t="n"/>
      <x:c r="F314" s="22" t="n"/>
      <x:c r="G314" s="22" t="n"/>
      <x:c r="H314" s="22" t="n"/>
      <x:c r="I314" s="22" t="n"/>
      <x:c r="J314" s="22" t="n"/>
      <x:c r="K314" s="22" t="n"/>
      <x:c r="L314" s="22" t="n"/>
      <x:c r="M314" s="22" t="n"/>
      <x:c r="N314" s="22" t="n"/>
    </x:row>
    <x:row r="315">
      <x:c r="A315" s="22" t="n"/>
      <x:c r="B315" s="22" t="n"/>
      <x:c r="C315" s="22" t="n"/>
      <x:c r="D315" s="22" t="n"/>
      <x:c r="E315" s="23" t="n"/>
      <x:c r="F315" s="22" t="n"/>
      <x:c r="G315" s="22" t="n"/>
      <x:c r="H315" s="22" t="n"/>
      <x:c r="I315" s="22" t="n"/>
      <x:c r="J315" s="22" t="n"/>
      <x:c r="K315" s="22" t="n"/>
      <x:c r="L315" s="22" t="n"/>
      <x:c r="M315" s="22" t="n"/>
      <x:c r="N315" s="22" t="n"/>
    </x:row>
    <x:row r="316">
      <x:c r="A316" s="22" t="n"/>
      <x:c r="B316" s="22" t="n"/>
      <x:c r="C316" s="22" t="n"/>
      <x:c r="D316" s="22" t="n"/>
      <x:c r="E316" s="23" t="n"/>
      <x:c r="F316" s="22" t="n"/>
      <x:c r="G316" s="22" t="n"/>
      <x:c r="H316" s="22" t="n"/>
      <x:c r="I316" s="22" t="n"/>
      <x:c r="J316" s="22" t="n"/>
      <x:c r="K316" s="22" t="n"/>
      <x:c r="L316" s="22" t="n"/>
      <x:c r="M316" s="22" t="n"/>
      <x:c r="N316" s="22" t="n"/>
    </x:row>
    <x:row r="317">
      <x:c r="A317" s="22" t="n"/>
      <x:c r="B317" s="22" t="n"/>
      <x:c r="C317" s="22" t="n"/>
      <x:c r="D317" s="22" t="n"/>
      <x:c r="E317" s="23" t="n"/>
      <x:c r="F317" s="22" t="n"/>
      <x:c r="G317" s="22" t="n"/>
      <x:c r="H317" s="22" t="n"/>
      <x:c r="I317" s="22" t="n"/>
      <x:c r="J317" s="22" t="n"/>
      <x:c r="K317" s="22" t="n"/>
      <x:c r="L317" s="22" t="n"/>
      <x:c r="M317" s="22" t="n"/>
      <x:c r="N317" s="22" t="n"/>
    </x:row>
    <x:row r="318">
      <x:c r="A318" s="22" t="n"/>
      <x:c r="B318" s="22" t="n"/>
      <x:c r="C318" s="22" t="n"/>
      <x:c r="D318" s="22" t="n"/>
      <x:c r="E318" s="23" t="n"/>
      <x:c r="F318" s="22" t="n"/>
      <x:c r="G318" s="22" t="n"/>
      <x:c r="H318" s="22" t="n"/>
      <x:c r="I318" s="22" t="n"/>
      <x:c r="J318" s="22" t="n"/>
      <x:c r="K318" s="22" t="n"/>
      <x:c r="L318" s="22" t="n"/>
      <x:c r="M318" s="22" t="n"/>
      <x:c r="N318" s="22" t="n"/>
    </x:row>
    <x:row r="319">
      <x:c r="A319" s="22" t="n"/>
      <x:c r="B319" s="22" t="n"/>
      <x:c r="C319" s="22" t="n"/>
      <x:c r="D319" s="22" t="n"/>
      <x:c r="E319" s="23" t="n"/>
      <x:c r="F319" s="22" t="n"/>
      <x:c r="G319" s="22" t="n"/>
      <x:c r="H319" s="22" t="n"/>
      <x:c r="I319" s="22" t="n"/>
      <x:c r="J319" s="22" t="n"/>
      <x:c r="K319" s="22" t="n"/>
      <x:c r="L319" s="22" t="n"/>
      <x:c r="M319" s="22" t="n"/>
      <x:c r="N319" s="22" t="n"/>
    </x:row>
    <x:row r="320">
      <x:c r="A320" s="22" t="n"/>
      <x:c r="B320" s="22" t="n"/>
      <x:c r="C320" s="22" t="n"/>
      <x:c r="D320" s="22" t="n"/>
      <x:c r="E320" s="23" t="n"/>
      <x:c r="F320" s="22" t="n"/>
      <x:c r="G320" s="22" t="n"/>
      <x:c r="H320" s="22" t="n"/>
      <x:c r="I320" s="22" t="n"/>
      <x:c r="J320" s="22" t="n"/>
      <x:c r="K320" s="22" t="n"/>
      <x:c r="L320" s="22" t="n"/>
      <x:c r="M320" s="22" t="n"/>
      <x:c r="N320" s="22" t="n"/>
    </x:row>
    <x:row r="321">
      <x:c r="A321" s="22" t="n"/>
      <x:c r="B321" s="22" t="n"/>
      <x:c r="C321" s="22" t="n"/>
      <x:c r="D321" s="22" t="n"/>
      <x:c r="E321" s="23" t="n"/>
      <x:c r="F321" s="22" t="n"/>
      <x:c r="G321" s="22" t="n"/>
      <x:c r="H321" s="22" t="n"/>
      <x:c r="I321" s="22" t="n"/>
      <x:c r="J321" s="22" t="n"/>
      <x:c r="K321" s="22" t="n"/>
      <x:c r="L321" s="22" t="n"/>
      <x:c r="M321" s="22" t="n"/>
      <x:c r="N321" s="22" t="n"/>
    </x:row>
    <x:row r="322">
      <x:c r="A322" s="22" t="n"/>
      <x:c r="B322" s="22" t="n"/>
      <x:c r="C322" s="22" t="n"/>
      <x:c r="D322" s="22" t="n"/>
      <x:c r="E322" s="23" t="n"/>
      <x:c r="F322" s="22" t="n"/>
      <x:c r="G322" s="22" t="n"/>
      <x:c r="H322" s="22" t="n"/>
      <x:c r="I322" s="22" t="n"/>
      <x:c r="J322" s="22" t="n"/>
      <x:c r="K322" s="22" t="n"/>
      <x:c r="L322" s="22" t="n"/>
      <x:c r="M322" s="22" t="n"/>
      <x:c r="N322" s="22" t="n"/>
    </x:row>
    <x:row r="323">
      <x:c r="A323" s="22" t="n"/>
      <x:c r="B323" s="22" t="n"/>
      <x:c r="C323" s="22" t="n"/>
      <x:c r="D323" s="22" t="n"/>
      <x:c r="E323" s="23" t="n"/>
      <x:c r="F323" s="22" t="n"/>
      <x:c r="G323" s="22" t="n"/>
      <x:c r="H323" s="22" t="n"/>
      <x:c r="I323" s="22" t="n"/>
      <x:c r="J323" s="22" t="n"/>
      <x:c r="K323" s="22" t="n"/>
      <x:c r="L323" s="22" t="n"/>
      <x:c r="M323" s="22" t="n"/>
      <x:c r="N323" s="22" t="n"/>
    </x:row>
    <x:row r="324">
      <x:c r="A324" s="22" t="n"/>
      <x:c r="B324" s="22" t="n"/>
      <x:c r="C324" s="22" t="n"/>
      <x:c r="D324" s="22" t="n"/>
      <x:c r="E324" s="23" t="n"/>
      <x:c r="F324" s="22" t="n"/>
      <x:c r="G324" s="22" t="n"/>
      <x:c r="H324" s="22" t="n"/>
      <x:c r="I324" s="22" t="n"/>
      <x:c r="J324" s="22" t="n"/>
      <x:c r="K324" s="22" t="n"/>
      <x:c r="L324" s="22" t="n"/>
      <x:c r="M324" s="22" t="n"/>
      <x:c r="N324" s="22" t="n"/>
    </x:row>
    <x:row r="325">
      <x:c r="A325" s="22" t="n"/>
      <x:c r="B325" s="22" t="n"/>
      <x:c r="C325" s="22" t="n"/>
      <x:c r="D325" s="22" t="n"/>
      <x:c r="E325" s="23" t="n"/>
      <x:c r="F325" s="22" t="n"/>
      <x:c r="G325" s="22" t="n"/>
      <x:c r="H325" s="22" t="n"/>
      <x:c r="I325" s="22" t="n"/>
      <x:c r="J325" s="22" t="n"/>
      <x:c r="K325" s="22" t="n"/>
      <x:c r="L325" s="22" t="n"/>
      <x:c r="M325" s="22" t="n"/>
      <x:c r="N325" s="22" t="n"/>
    </x:row>
    <x:row r="326">
      <x:c r="A326" s="22" t="n"/>
      <x:c r="B326" s="22" t="n"/>
      <x:c r="C326" s="22" t="n"/>
      <x:c r="D326" s="22" t="n"/>
      <x:c r="E326" s="23" t="n"/>
      <x:c r="F326" s="22" t="n"/>
      <x:c r="G326" s="22" t="n"/>
      <x:c r="H326" s="22" t="n"/>
      <x:c r="I326" s="22" t="n"/>
      <x:c r="J326" s="22" t="n"/>
      <x:c r="K326" s="22" t="n"/>
      <x:c r="L326" s="22" t="n"/>
      <x:c r="M326" s="22" t="n"/>
      <x:c r="N326" s="22" t="n"/>
    </x:row>
    <x:row r="327">
      <x:c r="A327" s="22" t="n"/>
      <x:c r="B327" s="22" t="n"/>
      <x:c r="C327" s="22" t="n"/>
      <x:c r="D327" s="22" t="n"/>
      <x:c r="E327" s="23" t="n"/>
      <x:c r="F327" s="22" t="n"/>
      <x:c r="G327" s="22" t="n"/>
      <x:c r="H327" s="22" t="n"/>
      <x:c r="I327" s="22" t="n"/>
      <x:c r="J327" s="22" t="n"/>
      <x:c r="K327" s="22" t="n"/>
      <x:c r="L327" s="22" t="n"/>
      <x:c r="M327" s="22" t="n"/>
      <x:c r="N327" s="22" t="n"/>
    </x:row>
    <x:row r="328">
      <x:c r="A328" s="22" t="n"/>
      <x:c r="B328" s="22" t="n"/>
      <x:c r="C328" s="22" t="n"/>
      <x:c r="D328" s="22" t="n"/>
      <x:c r="E328" s="23" t="n"/>
      <x:c r="F328" s="22" t="n"/>
      <x:c r="G328" s="22" t="n"/>
      <x:c r="H328" s="22" t="n"/>
      <x:c r="I328" s="22" t="n"/>
      <x:c r="J328" s="22" t="n"/>
      <x:c r="K328" s="22" t="n"/>
      <x:c r="L328" s="22" t="n"/>
      <x:c r="M328" s="22" t="n"/>
      <x:c r="N328" s="22" t="n"/>
    </x:row>
    <x:row r="329">
      <x:c r="A329" s="22" t="n"/>
      <x:c r="B329" s="22" t="n"/>
      <x:c r="C329" s="22" t="n"/>
      <x:c r="D329" s="22" t="n"/>
      <x:c r="E329" s="23" t="n"/>
      <x:c r="F329" s="22" t="n"/>
      <x:c r="G329" s="22" t="n"/>
      <x:c r="H329" s="22" t="n"/>
      <x:c r="I329" s="22" t="n"/>
      <x:c r="J329" s="22" t="n"/>
      <x:c r="K329" s="22" t="n"/>
      <x:c r="L329" s="22" t="n"/>
      <x:c r="M329" s="22" t="n"/>
      <x:c r="N329" s="22" t="n"/>
    </x:row>
    <x:row r="330">
      <x:c r="A330" s="22" t="n"/>
      <x:c r="B330" s="22" t="n"/>
      <x:c r="C330" s="22" t="n"/>
      <x:c r="D330" s="22" t="n"/>
      <x:c r="E330" s="23" t="n"/>
      <x:c r="F330" s="22" t="n"/>
      <x:c r="G330" s="22" t="n"/>
      <x:c r="H330" s="22" t="n"/>
      <x:c r="I330" s="22" t="n"/>
      <x:c r="J330" s="22" t="n"/>
      <x:c r="K330" s="22" t="n"/>
      <x:c r="L330" s="22" t="n"/>
      <x:c r="M330" s="22" t="n"/>
      <x:c r="N330" s="22" t="n"/>
    </x:row>
    <x:row r="331">
      <x:c r="A331" s="22" t="n"/>
      <x:c r="B331" s="22" t="n"/>
      <x:c r="C331" s="22" t="n"/>
      <x:c r="D331" s="22" t="n"/>
      <x:c r="E331" s="23" t="n"/>
      <x:c r="F331" s="22" t="n"/>
      <x:c r="G331" s="22" t="n"/>
      <x:c r="H331" s="22" t="n"/>
      <x:c r="I331" s="22" t="n"/>
      <x:c r="J331" s="22" t="n"/>
      <x:c r="K331" s="22" t="n"/>
      <x:c r="L331" s="22" t="n"/>
      <x:c r="M331" s="22" t="n"/>
      <x:c r="N331" s="22" t="n"/>
    </x:row>
    <x:row r="332">
      <x:c r="A332" s="22" t="n"/>
      <x:c r="B332" s="22" t="n"/>
      <x:c r="C332" s="22" t="n"/>
      <x:c r="D332" s="22" t="n"/>
      <x:c r="E332" s="23" t="n"/>
      <x:c r="F332" s="22" t="n"/>
      <x:c r="G332" s="22" t="n"/>
      <x:c r="H332" s="22" t="n"/>
      <x:c r="I332" s="22" t="n"/>
      <x:c r="J332" s="22" t="n"/>
      <x:c r="K332" s="22" t="n"/>
      <x:c r="L332" s="22" t="n"/>
      <x:c r="M332" s="22" t="n"/>
      <x:c r="N332" s="22" t="n"/>
    </x:row>
    <x:row r="333">
      <x:c r="A333" s="22" t="n"/>
      <x:c r="B333" s="22" t="n"/>
      <x:c r="C333" s="22" t="n"/>
      <x:c r="D333" s="22" t="n"/>
      <x:c r="E333" s="23" t="n"/>
      <x:c r="F333" s="22" t="n"/>
      <x:c r="G333" s="22" t="n"/>
      <x:c r="H333" s="22" t="n"/>
      <x:c r="I333" s="22" t="n"/>
      <x:c r="J333" s="22" t="n"/>
      <x:c r="K333" s="22" t="n"/>
      <x:c r="L333" s="22" t="n"/>
      <x:c r="M333" s="22" t="n"/>
      <x:c r="N333" s="22" t="n"/>
    </x:row>
    <x:row r="334">
      <x:c r="A334" s="22" t="n"/>
      <x:c r="B334" s="22" t="n"/>
      <x:c r="C334" s="22" t="n"/>
      <x:c r="D334" s="22" t="n"/>
      <x:c r="E334" s="23" t="n"/>
      <x:c r="F334" s="22" t="n"/>
      <x:c r="G334" s="22" t="n"/>
      <x:c r="H334" s="22" t="n"/>
      <x:c r="I334" s="22" t="n"/>
      <x:c r="J334" s="22" t="n"/>
      <x:c r="K334" s="22" t="n"/>
      <x:c r="L334" s="22" t="n"/>
      <x:c r="M334" s="22" t="n"/>
      <x:c r="N334" s="22" t="n"/>
    </x:row>
    <x:row r="335">
      <x:c r="A335" s="22" t="n"/>
      <x:c r="B335" s="22" t="n"/>
      <x:c r="C335" s="22" t="n"/>
      <x:c r="D335" s="22" t="n"/>
      <x:c r="E335" s="23" t="n"/>
      <x:c r="F335" s="22" t="n"/>
      <x:c r="G335" s="22" t="n"/>
      <x:c r="H335" s="22" t="n"/>
      <x:c r="I335" s="22" t="n"/>
      <x:c r="J335" s="22" t="n"/>
      <x:c r="K335" s="22" t="n"/>
      <x:c r="L335" s="22" t="n"/>
      <x:c r="M335" s="22" t="n"/>
      <x:c r="N335" s="22" t="n"/>
    </x:row>
    <x:row r="336">
      <x:c r="A336" s="22" t="n"/>
      <x:c r="B336" s="22" t="n"/>
      <x:c r="C336" s="22" t="n"/>
      <x:c r="D336" s="22" t="n"/>
      <x:c r="E336" s="23" t="n"/>
      <x:c r="F336" s="22" t="n"/>
      <x:c r="G336" s="22" t="n"/>
      <x:c r="H336" s="22" t="n"/>
      <x:c r="I336" s="22" t="n"/>
      <x:c r="J336" s="22" t="n"/>
      <x:c r="K336" s="22" t="n"/>
      <x:c r="L336" s="22" t="n"/>
      <x:c r="M336" s="22" t="n"/>
      <x:c r="N336" s="22" t="n"/>
    </x:row>
    <x:row r="337">
      <x:c r="A337" s="22" t="n"/>
      <x:c r="B337" s="22" t="n"/>
      <x:c r="C337" s="22" t="n"/>
      <x:c r="D337" s="22" t="n"/>
      <x:c r="E337" s="23" t="n"/>
      <x:c r="F337" s="22" t="n"/>
      <x:c r="G337" s="22" t="n"/>
      <x:c r="H337" s="22" t="n"/>
      <x:c r="I337" s="22" t="n"/>
      <x:c r="J337" s="22" t="n"/>
      <x:c r="K337" s="22" t="n"/>
      <x:c r="L337" s="22" t="n"/>
      <x:c r="M337" s="22" t="n"/>
      <x:c r="N337" s="22" t="n"/>
    </x:row>
    <x:row r="338">
      <x:c r="A338" s="22" t="n"/>
      <x:c r="B338" s="22" t="n"/>
      <x:c r="C338" s="22" t="n"/>
      <x:c r="D338" s="22" t="n"/>
      <x:c r="E338" s="23" t="n"/>
      <x:c r="F338" s="22" t="n"/>
      <x:c r="G338" s="22" t="n"/>
      <x:c r="H338" s="22" t="n"/>
      <x:c r="I338" s="22" t="n"/>
      <x:c r="J338" s="22" t="n"/>
      <x:c r="K338" s="22" t="n"/>
      <x:c r="L338" s="22" t="n"/>
      <x:c r="M338" s="22" t="n"/>
      <x:c r="N338" s="22" t="n"/>
    </x:row>
    <x:row r="339">
      <x:c r="A339" s="22" t="n"/>
      <x:c r="B339" s="22" t="n"/>
      <x:c r="C339" s="22" t="n"/>
      <x:c r="D339" s="22" t="n"/>
      <x:c r="E339" s="23" t="n"/>
      <x:c r="F339" s="22" t="n"/>
      <x:c r="G339" s="22" t="n"/>
      <x:c r="H339" s="22" t="n"/>
      <x:c r="I339" s="22" t="n"/>
      <x:c r="J339" s="22" t="n"/>
      <x:c r="K339" s="22" t="n"/>
      <x:c r="L339" s="22" t="n"/>
      <x:c r="M339" s="22" t="n"/>
      <x:c r="N339" s="22" t="n"/>
    </x:row>
    <x:row r="340">
      <x:c r="A340" s="22" t="n"/>
      <x:c r="B340" s="22" t="n"/>
      <x:c r="C340" s="22" t="n"/>
      <x:c r="D340" s="22" t="n"/>
      <x:c r="E340" s="23" t="n"/>
      <x:c r="F340" s="22" t="n"/>
      <x:c r="G340" s="22" t="n"/>
      <x:c r="H340" s="22" t="n"/>
      <x:c r="I340" s="22" t="n"/>
      <x:c r="J340" s="22" t="n"/>
      <x:c r="K340" s="22" t="n"/>
      <x:c r="L340" s="22" t="n"/>
      <x:c r="M340" s="22" t="n"/>
      <x:c r="N340" s="22" t="n"/>
    </x:row>
    <x:row r="341">
      <x:c r="A341" s="22" t="n"/>
      <x:c r="B341" s="22" t="n"/>
      <x:c r="C341" s="22" t="n"/>
      <x:c r="D341" s="22" t="n"/>
      <x:c r="E341" s="23" t="n"/>
      <x:c r="F341" s="22" t="n"/>
      <x:c r="G341" s="22" t="n"/>
      <x:c r="H341" s="22" t="n"/>
      <x:c r="I341" s="22" t="n"/>
      <x:c r="J341" s="22" t="n"/>
      <x:c r="K341" s="22" t="n"/>
      <x:c r="L341" s="22" t="n"/>
      <x:c r="M341" s="22" t="n"/>
      <x:c r="N341" s="22" t="n"/>
    </x:row>
    <x:row r="342">
      <x:c r="A342" s="22" t="n"/>
      <x:c r="B342" s="22" t="n"/>
      <x:c r="C342" s="22" t="n"/>
      <x:c r="D342" s="22" t="n"/>
      <x:c r="E342" s="23" t="n"/>
      <x:c r="F342" s="22" t="n"/>
      <x:c r="G342" s="22" t="n"/>
      <x:c r="H342" s="22" t="n"/>
      <x:c r="I342" s="22" t="n"/>
      <x:c r="J342" s="22" t="n"/>
      <x:c r="K342" s="22" t="n"/>
      <x:c r="L342" s="22" t="n"/>
      <x:c r="M342" s="22" t="n"/>
      <x:c r="N342" s="22" t="n"/>
    </x:row>
    <x:row r="343">
      <x:c r="A343" s="22" t="n"/>
      <x:c r="B343" s="22" t="n"/>
      <x:c r="C343" s="22" t="n"/>
      <x:c r="D343" s="22" t="n"/>
      <x:c r="E343" s="23" t="n"/>
      <x:c r="F343" s="22" t="n"/>
      <x:c r="G343" s="22" t="n"/>
      <x:c r="H343" s="22" t="n"/>
      <x:c r="I343" s="22" t="n"/>
      <x:c r="J343" s="22" t="n"/>
      <x:c r="K343" s="22" t="n"/>
      <x:c r="L343" s="22" t="n"/>
      <x:c r="M343" s="22" t="n"/>
      <x:c r="N343" s="22" t="n"/>
    </x:row>
    <x:row r="344">
      <x:c r="A344" s="22" t="n"/>
      <x:c r="B344" s="22" t="n"/>
      <x:c r="C344" s="22" t="n"/>
      <x:c r="D344" s="22" t="n"/>
      <x:c r="E344" s="23" t="n"/>
      <x:c r="F344" s="22" t="n"/>
      <x:c r="G344" s="22" t="n"/>
      <x:c r="H344" s="22" t="n"/>
      <x:c r="I344" s="22" t="n"/>
      <x:c r="J344" s="22" t="n"/>
      <x:c r="K344" s="22" t="n"/>
      <x:c r="L344" s="22" t="n"/>
      <x:c r="M344" s="22" t="n"/>
      <x:c r="N344" s="22" t="n"/>
    </x:row>
    <x:row r="345">
      <x:c r="A345" s="22" t="n"/>
      <x:c r="B345" s="22" t="n"/>
      <x:c r="C345" s="22" t="n"/>
      <x:c r="D345" s="22" t="n"/>
      <x:c r="E345" s="23" t="n"/>
      <x:c r="F345" s="22" t="n"/>
      <x:c r="G345" s="22" t="n"/>
      <x:c r="H345" s="22" t="n"/>
      <x:c r="I345" s="22" t="n"/>
      <x:c r="J345" s="22" t="n"/>
      <x:c r="K345" s="22" t="n"/>
      <x:c r="L345" s="22" t="n"/>
      <x:c r="M345" s="22" t="n"/>
      <x:c r="N345" s="22" t="n"/>
    </x:row>
    <x:row r="346">
      <x:c r="A346" s="22" t="n"/>
      <x:c r="B346" s="22" t="n"/>
      <x:c r="C346" s="22" t="n"/>
      <x:c r="D346" s="22" t="n"/>
      <x:c r="E346" s="23" t="n"/>
      <x:c r="F346" s="22" t="n"/>
      <x:c r="G346" s="22" t="n"/>
      <x:c r="H346" s="22" t="n"/>
      <x:c r="I346" s="22" t="n"/>
      <x:c r="J346" s="22" t="n"/>
      <x:c r="K346" s="22" t="n"/>
      <x:c r="L346" s="22" t="n"/>
      <x:c r="M346" s="22" t="n"/>
      <x:c r="N346" s="22" t="n"/>
    </x:row>
    <x:row r="347">
      <x:c r="A347" s="22" t="n"/>
      <x:c r="B347" s="22" t="n"/>
      <x:c r="C347" s="22" t="n"/>
      <x:c r="D347" s="22" t="n"/>
      <x:c r="E347" s="23" t="n"/>
      <x:c r="F347" s="22" t="n"/>
      <x:c r="G347" s="22" t="n"/>
      <x:c r="H347" s="22" t="n"/>
      <x:c r="I347" s="22" t="n"/>
      <x:c r="J347" s="22" t="n"/>
      <x:c r="K347" s="22" t="n"/>
      <x:c r="L347" s="22" t="n"/>
      <x:c r="M347" s="22" t="n"/>
      <x:c r="N347" s="22" t="n"/>
    </x:row>
    <x:row r="348">
      <x:c r="A348" s="22" t="n"/>
      <x:c r="B348" s="22" t="n"/>
      <x:c r="C348" s="22" t="n"/>
      <x:c r="D348" s="22" t="n"/>
      <x:c r="E348" s="23" t="n"/>
      <x:c r="F348" s="22" t="n"/>
      <x:c r="G348" s="22" t="n"/>
      <x:c r="H348" s="22" t="n"/>
      <x:c r="I348" s="22" t="n"/>
      <x:c r="J348" s="22" t="n"/>
      <x:c r="K348" s="22" t="n"/>
      <x:c r="L348" s="22" t="n"/>
      <x:c r="M348" s="22" t="n"/>
      <x:c r="N348" s="22" t="n"/>
    </x:row>
    <x:row r="349">
      <x:c r="A349" s="22" t="n"/>
      <x:c r="B349" s="22" t="n"/>
      <x:c r="C349" s="22" t="n"/>
      <x:c r="D349" s="22" t="n"/>
      <x:c r="E349" s="23" t="n"/>
      <x:c r="F349" s="22" t="n"/>
      <x:c r="G349" s="22" t="n"/>
      <x:c r="H349" s="22" t="n"/>
      <x:c r="I349" s="22" t="n"/>
      <x:c r="J349" s="22" t="n"/>
      <x:c r="K349" s="22" t="n"/>
      <x:c r="L349" s="22" t="n"/>
      <x:c r="M349" s="22" t="n"/>
      <x:c r="N349" s="22" t="n"/>
    </x:row>
    <x:row r="350">
      <x:c r="A350" s="22" t="n"/>
      <x:c r="B350" s="22" t="n"/>
      <x:c r="C350" s="22" t="n"/>
      <x:c r="D350" s="22" t="n"/>
      <x:c r="E350" s="23" t="n"/>
      <x:c r="F350" s="22" t="n"/>
      <x:c r="G350" s="22" t="n"/>
      <x:c r="H350" s="22" t="n"/>
      <x:c r="I350" s="22" t="n"/>
      <x:c r="J350" s="22" t="n"/>
      <x:c r="K350" s="22" t="n"/>
      <x:c r="L350" s="22" t="n"/>
      <x:c r="M350" s="22" t="n"/>
      <x:c r="N350" s="22" t="n"/>
    </x:row>
    <x:row r="351">
      <x:c r="A351" s="22" t="n"/>
      <x:c r="B351" s="22" t="n"/>
      <x:c r="C351" s="22" t="n"/>
      <x:c r="D351" s="22" t="n"/>
      <x:c r="E351" s="23" t="n"/>
      <x:c r="F351" s="22" t="n"/>
      <x:c r="G351" s="22" t="n"/>
      <x:c r="H351" s="22" t="n"/>
      <x:c r="I351" s="22" t="n"/>
      <x:c r="J351" s="22" t="n"/>
      <x:c r="K351" s="22" t="n"/>
      <x:c r="L351" s="22" t="n"/>
      <x:c r="M351" s="22" t="n"/>
      <x:c r="N351" s="22" t="n"/>
    </x:row>
    <x:row r="352">
      <x:c r="A352" s="22" t="n"/>
      <x:c r="B352" s="22" t="n"/>
      <x:c r="C352" s="22" t="n"/>
      <x:c r="D352" s="22" t="n"/>
      <x:c r="E352" s="23" t="n"/>
      <x:c r="F352" s="22" t="n"/>
      <x:c r="G352" s="22" t="n"/>
      <x:c r="H352" s="22" t="n"/>
      <x:c r="I352" s="22" t="n"/>
      <x:c r="J352" s="22" t="n"/>
      <x:c r="K352" s="22" t="n"/>
      <x:c r="L352" s="22" t="n"/>
      <x:c r="M352" s="22" t="n"/>
      <x:c r="N352" s="22" t="n"/>
    </x:row>
    <x:row r="353">
      <x:c r="A353" s="22" t="n"/>
      <x:c r="B353" s="22" t="n"/>
      <x:c r="C353" s="22" t="n"/>
      <x:c r="D353" s="22" t="n"/>
      <x:c r="E353" s="23" t="n"/>
      <x:c r="F353" s="22" t="n"/>
      <x:c r="G353" s="22" t="n"/>
      <x:c r="H353" s="22" t="n"/>
      <x:c r="I353" s="22" t="n"/>
      <x:c r="J353" s="22" t="n"/>
      <x:c r="K353" s="22" t="n"/>
      <x:c r="L353" s="22" t="n"/>
      <x:c r="M353" s="22" t="n"/>
      <x:c r="N353" s="22" t="n"/>
    </x:row>
    <x:row r="354">
      <x:c r="A354" s="22" t="n"/>
      <x:c r="B354" s="22" t="n"/>
      <x:c r="C354" s="22" t="n"/>
      <x:c r="D354" s="22" t="n"/>
      <x:c r="E354" s="23" t="n"/>
      <x:c r="F354" s="22" t="n"/>
      <x:c r="G354" s="22" t="n"/>
      <x:c r="H354" s="22" t="n"/>
      <x:c r="I354" s="22" t="n"/>
      <x:c r="J354" s="22" t="n"/>
      <x:c r="K354" s="22" t="n"/>
      <x:c r="L354" s="22" t="n"/>
      <x:c r="M354" s="22" t="n"/>
      <x:c r="N354" s="22" t="n"/>
    </x:row>
    <x:row r="355">
      <x:c r="A355" s="22" t="n"/>
      <x:c r="B355" s="22" t="n"/>
      <x:c r="C355" s="22" t="n"/>
      <x:c r="D355" s="22" t="n"/>
      <x:c r="E355" s="23" t="n"/>
      <x:c r="F355" s="22" t="n"/>
      <x:c r="G355" s="22" t="n"/>
      <x:c r="H355" s="22" t="n"/>
      <x:c r="I355" s="22" t="n"/>
      <x:c r="J355" s="22" t="n"/>
      <x:c r="K355" s="22" t="n"/>
      <x:c r="L355" s="22" t="n"/>
      <x:c r="M355" s="22" t="n"/>
      <x:c r="N355" s="22" t="n"/>
    </x:row>
    <x:row r="356">
      <x:c r="A356" s="22" t="n"/>
      <x:c r="B356" s="22" t="n"/>
      <x:c r="C356" s="22" t="n"/>
      <x:c r="D356" s="22" t="n"/>
      <x:c r="E356" s="23" t="n"/>
      <x:c r="F356" s="22" t="n"/>
      <x:c r="G356" s="22" t="n"/>
      <x:c r="H356" s="22" t="n"/>
      <x:c r="I356" s="22" t="n"/>
      <x:c r="J356" s="22" t="n"/>
      <x:c r="K356" s="22" t="n"/>
      <x:c r="L356" s="22" t="n"/>
      <x:c r="M356" s="22" t="n"/>
      <x:c r="N356" s="22" t="n"/>
    </x:row>
    <x:row r="357">
      <x:c r="A357" s="22" t="n"/>
      <x:c r="B357" s="22" t="n"/>
      <x:c r="C357" s="22" t="n"/>
      <x:c r="D357" s="22" t="n"/>
      <x:c r="E357" s="23" t="n"/>
      <x:c r="F357" s="22" t="n"/>
      <x:c r="G357" s="22" t="n"/>
      <x:c r="H357" s="22" t="n"/>
      <x:c r="I357" s="22" t="n"/>
      <x:c r="J357" s="22" t="n"/>
      <x:c r="K357" s="22" t="n"/>
      <x:c r="L357" s="22" t="n"/>
      <x:c r="M357" s="22" t="n"/>
      <x:c r="N357" s="22" t="n"/>
    </x:row>
    <x:row r="358">
      <x:c r="A358" s="22" t="n"/>
      <x:c r="B358" s="22" t="n"/>
      <x:c r="C358" s="22" t="n"/>
      <x:c r="D358" s="22" t="n"/>
      <x:c r="E358" s="23" t="n"/>
      <x:c r="F358" s="22" t="n"/>
      <x:c r="G358" s="22" t="n"/>
      <x:c r="H358" s="22" t="n"/>
      <x:c r="I358" s="22" t="n"/>
      <x:c r="J358" s="22" t="n"/>
      <x:c r="K358" s="22" t="n"/>
      <x:c r="L358" s="22" t="n"/>
      <x:c r="M358" s="22" t="n"/>
      <x:c r="N358" s="22" t="n"/>
    </x:row>
    <x:row r="359">
      <x:c r="A359" s="22" t="n"/>
      <x:c r="B359" s="22" t="n"/>
      <x:c r="C359" s="22" t="n"/>
      <x:c r="D359" s="22" t="n"/>
      <x:c r="E359" s="23" t="n"/>
      <x:c r="F359" s="22" t="n"/>
      <x:c r="G359" s="22" t="n"/>
      <x:c r="H359" s="22" t="n"/>
      <x:c r="I359" s="22" t="n"/>
      <x:c r="J359" s="22" t="n"/>
      <x:c r="K359" s="22" t="n"/>
      <x:c r="L359" s="22" t="n"/>
      <x:c r="M359" s="22" t="n"/>
      <x:c r="N359" s="22" t="n"/>
    </x:row>
    <x:row r="360">
      <x:c r="A360" s="22" t="n"/>
      <x:c r="B360" s="22" t="n"/>
      <x:c r="C360" s="22" t="n"/>
      <x:c r="D360" s="22" t="n"/>
      <x:c r="E360" s="23" t="n"/>
      <x:c r="F360" s="22" t="n"/>
      <x:c r="G360" s="22" t="n"/>
      <x:c r="H360" s="22" t="n"/>
      <x:c r="I360" s="22" t="n"/>
      <x:c r="J360" s="22" t="n"/>
      <x:c r="K360" s="22" t="n"/>
      <x:c r="L360" s="22" t="n"/>
      <x:c r="M360" s="22" t="n"/>
      <x:c r="N360" s="22" t="n"/>
    </x:row>
    <x:row r="361">
      <x:c r="A361" s="22" t="n"/>
      <x:c r="B361" s="22" t="n"/>
      <x:c r="C361" s="22" t="n"/>
      <x:c r="D361" s="22" t="n"/>
      <x:c r="E361" s="23" t="n"/>
      <x:c r="F361" s="22" t="n"/>
      <x:c r="G361" s="22" t="n"/>
      <x:c r="H361" s="22" t="n"/>
      <x:c r="I361" s="22" t="n"/>
      <x:c r="J361" s="22" t="n"/>
      <x:c r="K361" s="22" t="n"/>
      <x:c r="L361" s="22" t="n"/>
      <x:c r="M361" s="22" t="n"/>
      <x:c r="N361" s="22" t="n"/>
    </x:row>
    <x:row r="362">
      <x:c r="A362" s="22" t="n"/>
      <x:c r="B362" s="22" t="n"/>
      <x:c r="C362" s="22" t="n"/>
      <x:c r="D362" s="22" t="n"/>
      <x:c r="E362" s="23" t="n"/>
      <x:c r="F362" s="22" t="n"/>
      <x:c r="G362" s="22" t="n"/>
      <x:c r="H362" s="22" t="n"/>
      <x:c r="I362" s="22" t="n"/>
      <x:c r="J362" s="22" t="n"/>
      <x:c r="K362" s="22" t="n"/>
      <x:c r="L362" s="22" t="n"/>
      <x:c r="M362" s="22" t="n"/>
      <x:c r="N362" s="22" t="n"/>
    </x:row>
    <x:row r="363">
      <x:c r="A363" s="22" t="n"/>
      <x:c r="B363" s="22" t="n"/>
      <x:c r="C363" s="22" t="n"/>
      <x:c r="D363" s="22" t="n"/>
      <x:c r="E363" s="23" t="n"/>
      <x:c r="F363" s="22" t="n"/>
      <x:c r="G363" s="22" t="n"/>
      <x:c r="H363" s="22" t="n"/>
      <x:c r="I363" s="22" t="n"/>
      <x:c r="J363" s="22" t="n"/>
      <x:c r="K363" s="22" t="n"/>
      <x:c r="L363" s="22" t="n"/>
      <x:c r="M363" s="22" t="n"/>
      <x:c r="N363" s="22" t="n"/>
    </x:row>
    <x:row r="364">
      <x:c r="A364" s="22" t="n"/>
      <x:c r="B364" s="22" t="n"/>
      <x:c r="C364" s="22" t="n"/>
      <x:c r="D364" s="22" t="n"/>
      <x:c r="E364" s="23" t="n"/>
      <x:c r="F364" s="22" t="n"/>
      <x:c r="G364" s="22" t="n"/>
      <x:c r="H364" s="22" t="n"/>
      <x:c r="I364" s="22" t="n"/>
      <x:c r="J364" s="22" t="n"/>
      <x:c r="K364" s="22" t="n"/>
      <x:c r="L364" s="22" t="n"/>
      <x:c r="M364" s="22" t="n"/>
      <x:c r="N364" s="22" t="n"/>
    </x:row>
    <x:row r="365">
      <x:c r="A365" s="22" t="n"/>
      <x:c r="B365" s="22" t="n"/>
      <x:c r="C365" s="22" t="n"/>
      <x:c r="D365" s="22" t="n"/>
      <x:c r="E365" s="23" t="n"/>
      <x:c r="F365" s="22" t="n"/>
      <x:c r="G365" s="22" t="n"/>
      <x:c r="H365" s="22" t="n"/>
      <x:c r="I365" s="22" t="n"/>
      <x:c r="J365" s="22" t="n"/>
      <x:c r="K365" s="22" t="n"/>
      <x:c r="L365" s="22" t="n"/>
      <x:c r="M365" s="22" t="n"/>
      <x:c r="N365" s="22" t="n"/>
    </x:row>
    <x:row r="366">
      <x:c r="A366" s="22" t="n"/>
      <x:c r="B366" s="22" t="n"/>
      <x:c r="C366" s="22" t="n"/>
      <x:c r="D366" s="22" t="n"/>
      <x:c r="E366" s="23" t="n"/>
      <x:c r="F366" s="22" t="n"/>
      <x:c r="G366" s="22" t="n"/>
      <x:c r="H366" s="22" t="n"/>
      <x:c r="I366" s="22" t="n"/>
      <x:c r="J366" s="22" t="n"/>
      <x:c r="K366" s="22" t="n"/>
      <x:c r="L366" s="22" t="n"/>
      <x:c r="M366" s="22" t="n"/>
      <x:c r="N366" s="22" t="n"/>
    </x:row>
    <x:row r="367">
      <x:c r="A367" s="22" t="n"/>
      <x:c r="B367" s="22" t="n"/>
      <x:c r="C367" s="22" t="n"/>
      <x:c r="D367" s="22" t="n"/>
      <x:c r="E367" s="23" t="n"/>
      <x:c r="F367" s="22" t="n"/>
      <x:c r="G367" s="22" t="n"/>
      <x:c r="H367" s="22" t="n"/>
      <x:c r="I367" s="22" t="n"/>
      <x:c r="J367" s="22" t="n"/>
      <x:c r="K367" s="22" t="n"/>
      <x:c r="L367" s="22" t="n"/>
      <x:c r="M367" s="22" t="n"/>
      <x:c r="N367" s="22" t="n"/>
    </x:row>
    <x:row r="368">
      <x:c r="A368" s="22" t="n"/>
      <x:c r="B368" s="22" t="n"/>
      <x:c r="C368" s="22" t="n"/>
      <x:c r="D368" s="22" t="n"/>
      <x:c r="E368" s="23" t="n"/>
      <x:c r="F368" s="22" t="n"/>
      <x:c r="G368" s="22" t="n"/>
      <x:c r="H368" s="22" t="n"/>
      <x:c r="I368" s="22" t="n"/>
      <x:c r="J368" s="22" t="n"/>
      <x:c r="K368" s="22" t="n"/>
      <x:c r="L368" s="22" t="n"/>
      <x:c r="M368" s="22" t="n"/>
      <x:c r="N368" s="22" t="n"/>
    </x:row>
    <x:row r="369">
      <x:c r="A369" s="22" t="n"/>
      <x:c r="B369" s="22" t="n"/>
      <x:c r="C369" s="22" t="n"/>
      <x:c r="D369" s="22" t="n"/>
      <x:c r="E369" s="23" t="n"/>
      <x:c r="F369" s="22" t="n"/>
      <x:c r="G369" s="22" t="n"/>
      <x:c r="H369" s="22" t="n"/>
      <x:c r="I369" s="22" t="n"/>
      <x:c r="J369" s="22" t="n"/>
      <x:c r="K369" s="22" t="n"/>
      <x:c r="L369" s="22" t="n"/>
      <x:c r="M369" s="22" t="n"/>
      <x:c r="N369" s="22" t="n"/>
    </x:row>
    <x:row r="370">
      <x:c r="A370" s="22" t="n"/>
      <x:c r="B370" s="22" t="n"/>
      <x:c r="C370" s="22" t="n"/>
      <x:c r="D370" s="22" t="n"/>
      <x:c r="E370" s="23" t="n"/>
      <x:c r="F370" s="22" t="n"/>
      <x:c r="G370" s="22" t="n"/>
      <x:c r="H370" s="22" t="n"/>
      <x:c r="I370" s="22" t="n"/>
      <x:c r="J370" s="22" t="n"/>
      <x:c r="K370" s="22" t="n"/>
      <x:c r="L370" s="22" t="n"/>
      <x:c r="M370" s="22" t="n"/>
      <x:c r="N370" s="22" t="n"/>
    </x:row>
    <x:row r="371">
      <x:c r="A371" s="22" t="n"/>
      <x:c r="B371" s="22" t="n"/>
      <x:c r="C371" s="22" t="n"/>
      <x:c r="D371" s="22" t="n"/>
      <x:c r="E371" s="23" t="n"/>
      <x:c r="F371" s="22" t="n"/>
      <x:c r="G371" s="22" t="n"/>
      <x:c r="H371" s="22" t="n"/>
      <x:c r="I371" s="22" t="n"/>
      <x:c r="J371" s="22" t="n"/>
      <x:c r="K371" s="22" t="n"/>
      <x:c r="L371" s="22" t="n"/>
      <x:c r="M371" s="22" t="n"/>
      <x:c r="N371" s="22" t="n"/>
    </x:row>
    <x:row r="372">
      <x:c r="A372" s="22" t="n"/>
      <x:c r="B372" s="22" t="n"/>
      <x:c r="C372" s="22" t="n"/>
      <x:c r="D372" s="22" t="n"/>
      <x:c r="E372" s="23" t="n"/>
      <x:c r="F372" s="22" t="n"/>
      <x:c r="G372" s="22" t="n"/>
      <x:c r="H372" s="22" t="n"/>
      <x:c r="I372" s="22" t="n"/>
      <x:c r="J372" s="22" t="n"/>
      <x:c r="K372" s="22" t="n"/>
      <x:c r="L372" s="22" t="n"/>
      <x:c r="M372" s="22" t="n"/>
      <x:c r="N372" s="22" t="n"/>
    </x:row>
    <x:row r="373">
      <x:c r="A373" s="22" t="n"/>
      <x:c r="B373" s="22" t="n"/>
      <x:c r="C373" s="22" t="n"/>
      <x:c r="D373" s="22" t="n"/>
      <x:c r="E373" s="23" t="n"/>
      <x:c r="F373" s="22" t="n"/>
      <x:c r="G373" s="22" t="n"/>
      <x:c r="H373" s="22" t="n"/>
      <x:c r="I373" s="22" t="n"/>
      <x:c r="J373" s="22" t="n"/>
      <x:c r="K373" s="22" t="n"/>
      <x:c r="L373" s="22" t="n"/>
      <x:c r="M373" s="22" t="n"/>
      <x:c r="N373" s="22" t="n"/>
    </x:row>
    <x:row r="374">
      <x:c r="A374" s="22" t="n"/>
      <x:c r="B374" s="22" t="n"/>
      <x:c r="C374" s="22" t="n"/>
      <x:c r="D374" s="22" t="n"/>
      <x:c r="E374" s="23" t="n"/>
      <x:c r="F374" s="22" t="n"/>
      <x:c r="G374" s="22" t="n"/>
      <x:c r="H374" s="22" t="n"/>
      <x:c r="I374" s="22" t="n"/>
      <x:c r="J374" s="22" t="n"/>
      <x:c r="K374" s="22" t="n"/>
      <x:c r="L374" s="22" t="n"/>
      <x:c r="M374" s="22" t="n"/>
      <x:c r="N374" s="22" t="n"/>
    </x:row>
    <x:row r="375">
      <x:c r="A375" s="22" t="n"/>
      <x:c r="B375" s="22" t="n"/>
      <x:c r="C375" s="22" t="n"/>
      <x:c r="D375" s="22" t="n"/>
      <x:c r="E375" s="23" t="n"/>
      <x:c r="F375" s="22" t="n"/>
      <x:c r="G375" s="22" t="n"/>
      <x:c r="H375" s="22" t="n"/>
      <x:c r="I375" s="22" t="n"/>
      <x:c r="J375" s="22" t="n"/>
      <x:c r="K375" s="22" t="n"/>
      <x:c r="L375" s="22" t="n"/>
      <x:c r="M375" s="22" t="n"/>
      <x:c r="N375" s="22" t="n"/>
    </x:row>
    <x:row r="376">
      <x:c r="A376" s="22" t="n"/>
      <x:c r="B376" s="22" t="n"/>
      <x:c r="C376" s="22" t="n"/>
      <x:c r="D376" s="22" t="n"/>
      <x:c r="E376" s="23" t="n"/>
      <x:c r="F376" s="22" t="n"/>
      <x:c r="G376" s="22" t="n"/>
      <x:c r="H376" s="22" t="n"/>
      <x:c r="I376" s="22" t="n"/>
      <x:c r="J376" s="22" t="n"/>
      <x:c r="K376" s="22" t="n"/>
      <x:c r="L376" s="22" t="n"/>
      <x:c r="M376" s="22" t="n"/>
      <x:c r="N376" s="22" t="n"/>
    </x:row>
    <x:row r="377">
      <x:c r="A377" s="22" t="n"/>
      <x:c r="B377" s="22" t="n"/>
      <x:c r="C377" s="22" t="n"/>
      <x:c r="D377" s="22" t="n"/>
      <x:c r="E377" s="23" t="n"/>
      <x:c r="F377" s="22" t="n"/>
      <x:c r="G377" s="22" t="n"/>
      <x:c r="H377" s="22" t="n"/>
      <x:c r="I377" s="22" t="n"/>
      <x:c r="J377" s="22" t="n"/>
      <x:c r="K377" s="22" t="n"/>
      <x:c r="L377" s="22" t="n"/>
      <x:c r="M377" s="22" t="n"/>
      <x:c r="N377" s="22" t="n"/>
    </x:row>
    <x:row r="378">
      <x:c r="A378" s="22" t="n"/>
      <x:c r="B378" s="22" t="n"/>
      <x:c r="C378" s="22" t="n"/>
      <x:c r="D378" s="22" t="n"/>
      <x:c r="E378" s="23" t="n"/>
      <x:c r="F378" s="22" t="n"/>
      <x:c r="G378" s="22" t="n"/>
      <x:c r="H378" s="22" t="n"/>
      <x:c r="I378" s="22" t="n"/>
      <x:c r="J378" s="22" t="n"/>
      <x:c r="K378" s="22" t="n"/>
      <x:c r="L378" s="22" t="n"/>
      <x:c r="M378" s="22" t="n"/>
      <x:c r="N378" s="22" t="n"/>
    </x:row>
    <x:row r="379">
      <x:c r="A379" s="22" t="n"/>
      <x:c r="B379" s="22" t="n"/>
      <x:c r="C379" s="22" t="n"/>
      <x:c r="D379" s="22" t="n"/>
      <x:c r="E379" s="23" t="n"/>
      <x:c r="F379" s="22" t="n"/>
      <x:c r="G379" s="22" t="n"/>
      <x:c r="H379" s="22" t="n"/>
      <x:c r="I379" s="22" t="n"/>
      <x:c r="J379" s="22" t="n"/>
      <x:c r="K379" s="22" t="n"/>
      <x:c r="L379" s="22" t="n"/>
      <x:c r="M379" s="22" t="n"/>
      <x:c r="N379" s="22" t="n"/>
    </x:row>
    <x:row r="380">
      <x:c r="A380" s="22" t="n"/>
      <x:c r="B380" s="22" t="n"/>
      <x:c r="C380" s="22" t="n"/>
      <x:c r="D380" s="22" t="n"/>
      <x:c r="E380" s="23" t="n"/>
      <x:c r="F380" s="22" t="n"/>
      <x:c r="G380" s="22" t="n"/>
      <x:c r="H380" s="22" t="n"/>
      <x:c r="I380" s="22" t="n"/>
      <x:c r="J380" s="22" t="n"/>
      <x:c r="K380" s="22" t="n"/>
      <x:c r="L380" s="22" t="n"/>
      <x:c r="M380" s="22" t="n"/>
      <x:c r="N380" s="22" t="n"/>
    </x:row>
    <x:row r="381">
      <x:c r="A381" s="22" t="n"/>
      <x:c r="B381" s="22" t="n"/>
      <x:c r="C381" s="22" t="n"/>
      <x:c r="D381" s="22" t="n"/>
      <x:c r="E381" s="23" t="n"/>
      <x:c r="F381" s="22" t="n"/>
      <x:c r="G381" s="22" t="n"/>
      <x:c r="H381" s="22" t="n"/>
      <x:c r="I381" s="22" t="n"/>
      <x:c r="J381" s="22" t="n"/>
      <x:c r="K381" s="22" t="n"/>
      <x:c r="L381" s="22" t="n"/>
      <x:c r="M381" s="22" t="n"/>
      <x:c r="N381" s="22" t="n"/>
    </x:row>
    <x:row r="382">
      <x:c r="A382" s="22" t="n"/>
      <x:c r="B382" s="22" t="n"/>
      <x:c r="C382" s="22" t="n"/>
      <x:c r="D382" s="22" t="n"/>
      <x:c r="E382" s="23" t="n"/>
      <x:c r="F382" s="22" t="n"/>
      <x:c r="G382" s="22" t="n"/>
      <x:c r="H382" s="22" t="n"/>
      <x:c r="I382" s="22" t="n"/>
      <x:c r="J382" s="22" t="n"/>
      <x:c r="K382" s="22" t="n"/>
      <x:c r="L382" s="22" t="n"/>
      <x:c r="M382" s="22" t="n"/>
      <x:c r="N382" s="22" t="n"/>
    </x:row>
    <x:row r="383">
      <x:c r="A383" s="22" t="n"/>
      <x:c r="B383" s="22" t="n"/>
      <x:c r="C383" s="22" t="n"/>
      <x:c r="D383" s="22" t="n"/>
      <x:c r="E383" s="23" t="n"/>
      <x:c r="F383" s="22" t="n"/>
      <x:c r="G383" s="22" t="n"/>
      <x:c r="H383" s="22" t="n"/>
      <x:c r="I383" s="22" t="n"/>
      <x:c r="J383" s="22" t="n"/>
      <x:c r="K383" s="22" t="n"/>
      <x:c r="L383" s="22" t="n"/>
      <x:c r="M383" s="22" t="n"/>
      <x:c r="N383" s="22" t="n"/>
    </x:row>
    <x:row r="384">
      <x:c r="A384" s="22" t="n"/>
      <x:c r="B384" s="22" t="n"/>
      <x:c r="C384" s="22" t="n"/>
      <x:c r="D384" s="22" t="n"/>
      <x:c r="E384" s="23" t="n"/>
      <x:c r="F384" s="22" t="n"/>
      <x:c r="G384" s="22" t="n"/>
      <x:c r="H384" s="22" t="n"/>
      <x:c r="I384" s="22" t="n"/>
      <x:c r="J384" s="22" t="n"/>
      <x:c r="K384" s="22" t="n"/>
      <x:c r="L384" s="22" t="n"/>
      <x:c r="M384" s="22" t="n"/>
      <x:c r="N384" s="22" t="n"/>
    </x:row>
    <x:row r="385">
      <x:c r="A385" s="22" t="n"/>
      <x:c r="B385" s="22" t="n"/>
      <x:c r="C385" s="22" t="n"/>
      <x:c r="D385" s="22" t="n"/>
      <x:c r="E385" s="23" t="n"/>
      <x:c r="F385" s="22" t="n"/>
      <x:c r="G385" s="22" t="n"/>
      <x:c r="H385" s="22" t="n"/>
      <x:c r="I385" s="22" t="n"/>
      <x:c r="J385" s="22" t="n"/>
      <x:c r="K385" s="22" t="n"/>
      <x:c r="L385" s="22" t="n"/>
      <x:c r="M385" s="22" t="n"/>
      <x:c r="N385" s="22" t="n"/>
    </x:row>
    <x:row r="386">
      <x:c r="A386" s="22" t="n"/>
      <x:c r="B386" s="22" t="n"/>
      <x:c r="C386" s="22" t="n"/>
      <x:c r="D386" s="22" t="n"/>
      <x:c r="E386" s="23" t="n"/>
      <x:c r="F386" s="22" t="n"/>
      <x:c r="G386" s="22" t="n"/>
      <x:c r="H386" s="22" t="n"/>
      <x:c r="I386" s="22" t="n"/>
      <x:c r="J386" s="22" t="n"/>
      <x:c r="K386" s="22" t="n"/>
      <x:c r="L386" s="22" t="n"/>
      <x:c r="M386" s="22" t="n"/>
      <x:c r="N386" s="22" t="n"/>
    </x:row>
    <x:row r="387">
      <x:c r="A387" s="22" t="n"/>
      <x:c r="B387" s="22" t="n"/>
      <x:c r="C387" s="22" t="n"/>
      <x:c r="D387" s="22" t="n"/>
      <x:c r="E387" s="23" t="n"/>
      <x:c r="F387" s="22" t="n"/>
      <x:c r="G387" s="22" t="n"/>
      <x:c r="H387" s="22" t="n"/>
      <x:c r="I387" s="22" t="n"/>
      <x:c r="J387" s="22" t="n"/>
      <x:c r="K387" s="22" t="n"/>
      <x:c r="L387" s="22" t="n"/>
      <x:c r="M387" s="22" t="n"/>
      <x:c r="N387" s="22" t="n"/>
    </x:row>
    <x:row r="388">
      <x:c r="A388" s="22" t="n"/>
      <x:c r="B388" s="22" t="n"/>
      <x:c r="C388" s="22" t="n"/>
      <x:c r="D388" s="22" t="n"/>
      <x:c r="E388" s="23" t="n"/>
      <x:c r="F388" s="22" t="n"/>
      <x:c r="G388" s="22" t="n"/>
      <x:c r="H388" s="22" t="n"/>
      <x:c r="I388" s="22" t="n"/>
      <x:c r="J388" s="22" t="n"/>
      <x:c r="K388" s="22" t="n"/>
      <x:c r="L388" s="22" t="n"/>
      <x:c r="M388" s="22" t="n"/>
      <x:c r="N388" s="22" t="n"/>
    </x:row>
    <x:row r="389">
      <x:c r="A389" s="22" t="n"/>
      <x:c r="B389" s="22" t="n"/>
      <x:c r="C389" s="22" t="n"/>
      <x:c r="D389" s="22" t="n"/>
      <x:c r="E389" s="23" t="n"/>
      <x:c r="F389" s="22" t="n"/>
      <x:c r="G389" s="22" t="n"/>
      <x:c r="H389" s="22" t="n"/>
      <x:c r="I389" s="22" t="n"/>
      <x:c r="J389" s="22" t="n"/>
      <x:c r="K389" s="22" t="n"/>
      <x:c r="L389" s="22" t="n"/>
      <x:c r="M389" s="22" t="n"/>
      <x:c r="N389" s="22" t="n"/>
    </x:row>
    <x:row r="390">
      <x:c r="A390" s="22" t="n"/>
      <x:c r="B390" s="22" t="n"/>
      <x:c r="C390" s="22" t="n"/>
      <x:c r="D390" s="22" t="n"/>
      <x:c r="E390" s="23" t="n"/>
      <x:c r="F390" s="22" t="n"/>
      <x:c r="G390" s="22" t="n"/>
      <x:c r="H390" s="22" t="n"/>
      <x:c r="I390" s="22" t="n"/>
      <x:c r="J390" s="22" t="n"/>
      <x:c r="K390" s="22" t="n"/>
      <x:c r="L390" s="22" t="n"/>
      <x:c r="M390" s="22" t="n"/>
      <x:c r="N390" s="22" t="n"/>
    </x:row>
    <x:row r="391">
      <x:c r="A391" s="22" t="n"/>
      <x:c r="B391" s="22" t="n"/>
      <x:c r="C391" s="22" t="n"/>
      <x:c r="D391" s="22" t="n"/>
      <x:c r="E391" s="23" t="n"/>
      <x:c r="F391" s="22" t="n"/>
      <x:c r="G391" s="22" t="n"/>
      <x:c r="H391" s="22" t="n"/>
      <x:c r="I391" s="22" t="n"/>
      <x:c r="J391" s="22" t="n"/>
      <x:c r="K391" s="22" t="n"/>
      <x:c r="L391" s="22" t="n"/>
      <x:c r="M391" s="22" t="n"/>
      <x:c r="N391" s="22" t="n"/>
    </x:row>
    <x:row r="392">
      <x:c r="A392" s="22" t="n"/>
      <x:c r="B392" s="22" t="n"/>
      <x:c r="C392" s="22" t="n"/>
      <x:c r="D392" s="22" t="n"/>
      <x:c r="E392" s="23" t="n"/>
      <x:c r="F392" s="22" t="n"/>
      <x:c r="G392" s="22" t="n"/>
      <x:c r="H392" s="22" t="n"/>
      <x:c r="I392" s="22" t="n"/>
      <x:c r="J392" s="22" t="n"/>
      <x:c r="K392" s="22" t="n"/>
      <x:c r="L392" s="22" t="n"/>
      <x:c r="M392" s="22" t="n"/>
      <x:c r="N392" s="22" t="n"/>
    </x:row>
    <x:row r="393">
      <x:c r="A393" s="22" t="n"/>
      <x:c r="B393" s="22" t="n"/>
      <x:c r="C393" s="22" t="n"/>
      <x:c r="D393" s="22" t="n"/>
      <x:c r="E393" s="23" t="n"/>
      <x:c r="F393" s="22" t="n"/>
      <x:c r="G393" s="22" t="n"/>
      <x:c r="H393" s="22" t="n"/>
      <x:c r="I393" s="22" t="n"/>
      <x:c r="J393" s="22" t="n"/>
      <x:c r="K393" s="22" t="n"/>
      <x:c r="L393" s="22" t="n"/>
      <x:c r="M393" s="22" t="n"/>
      <x:c r="N393" s="22" t="n"/>
    </x:row>
    <x:row r="394">
      <x:c r="A394" s="22" t="n"/>
      <x:c r="B394" s="22" t="n"/>
      <x:c r="C394" s="22" t="n"/>
      <x:c r="D394" s="22" t="n"/>
      <x:c r="E394" s="23" t="n"/>
      <x:c r="F394" s="22" t="n"/>
      <x:c r="G394" s="22" t="n"/>
      <x:c r="H394" s="22" t="n"/>
      <x:c r="I394" s="22" t="n"/>
      <x:c r="J394" s="22" t="n"/>
      <x:c r="K394" s="22" t="n"/>
      <x:c r="L394" s="22" t="n"/>
      <x:c r="M394" s="22" t="n"/>
      <x:c r="N394" s="22" t="n"/>
    </x:row>
    <x:row r="395">
      <x:c r="A395" s="22" t="n"/>
      <x:c r="B395" s="22" t="n"/>
      <x:c r="C395" s="22" t="n"/>
      <x:c r="D395" s="22" t="n"/>
      <x:c r="E395" s="23" t="n"/>
      <x:c r="F395" s="22" t="n"/>
      <x:c r="G395" s="22" t="n"/>
      <x:c r="H395" s="22" t="n"/>
      <x:c r="I395" s="22" t="n"/>
      <x:c r="J395" s="22" t="n"/>
      <x:c r="K395" s="22" t="n"/>
      <x:c r="L395" s="22" t="n"/>
      <x:c r="M395" s="22" t="n"/>
      <x:c r="N395" s="22" t="n"/>
    </x:row>
    <x:row r="396">
      <x:c r="A396" s="22" t="n"/>
      <x:c r="B396" s="22" t="n"/>
      <x:c r="C396" s="22" t="n"/>
      <x:c r="D396" s="22" t="n"/>
      <x:c r="E396" s="23" t="n"/>
      <x:c r="F396" s="22" t="n"/>
      <x:c r="G396" s="22" t="n"/>
      <x:c r="H396" s="22" t="n"/>
      <x:c r="I396" s="22" t="n"/>
      <x:c r="J396" s="22" t="n"/>
      <x:c r="K396" s="22" t="n"/>
      <x:c r="L396" s="22" t="n"/>
      <x:c r="M396" s="22" t="n"/>
      <x:c r="N396" s="22" t="n"/>
    </x:row>
    <x:row r="397">
      <x:c r="A397" s="22" t="n"/>
      <x:c r="B397" s="22" t="n"/>
      <x:c r="C397" s="22" t="n"/>
      <x:c r="D397" s="22" t="n"/>
      <x:c r="E397" s="23" t="n"/>
      <x:c r="F397" s="22" t="n"/>
      <x:c r="G397" s="22" t="n"/>
      <x:c r="H397" s="22" t="n"/>
      <x:c r="I397" s="22" t="n"/>
      <x:c r="J397" s="22" t="n"/>
      <x:c r="K397" s="22" t="n"/>
      <x:c r="L397" s="22" t="n"/>
      <x:c r="M397" s="22" t="n"/>
      <x:c r="N397" s="22" t="n"/>
    </x:row>
    <x:row r="398">
      <x:c r="A398" s="22" t="n"/>
      <x:c r="B398" s="22" t="n"/>
      <x:c r="C398" s="22" t="n"/>
      <x:c r="D398" s="22" t="n"/>
      <x:c r="E398" s="23" t="n"/>
      <x:c r="F398" s="22" t="n"/>
      <x:c r="G398" s="22" t="n"/>
      <x:c r="H398" s="22" t="n"/>
      <x:c r="I398" s="22" t="n"/>
      <x:c r="J398" s="22" t="n"/>
      <x:c r="K398" s="22" t="n"/>
      <x:c r="L398" s="22" t="n"/>
      <x:c r="M398" s="22" t="n"/>
      <x:c r="N398" s="22" t="n"/>
    </x:row>
    <x:row r="399">
      <x:c r="A399" s="22" t="n"/>
      <x:c r="B399" s="22" t="n"/>
      <x:c r="C399" s="22" t="n"/>
      <x:c r="D399" s="22" t="n"/>
      <x:c r="E399" s="23" t="n"/>
      <x:c r="F399" s="22" t="n"/>
      <x:c r="G399" s="22" t="n"/>
      <x:c r="H399" s="22" t="n"/>
      <x:c r="I399" s="22" t="n"/>
      <x:c r="J399" s="22" t="n"/>
      <x:c r="K399" s="22" t="n"/>
      <x:c r="L399" s="22" t="n"/>
      <x:c r="M399" s="22" t="n"/>
      <x:c r="N399" s="22" t="n"/>
    </x:row>
    <x:row r="400">
      <x:c r="A400" s="22" t="n"/>
      <x:c r="B400" s="22" t="n"/>
      <x:c r="C400" s="22" t="n"/>
      <x:c r="D400" s="22" t="n"/>
      <x:c r="E400" s="23" t="n"/>
      <x:c r="F400" s="22" t="n"/>
      <x:c r="G400" s="22" t="n"/>
      <x:c r="H400" s="22" t="n"/>
      <x:c r="I400" s="22" t="n"/>
      <x:c r="J400" s="22" t="n"/>
      <x:c r="K400" s="22" t="n"/>
      <x:c r="L400" s="22" t="n"/>
      <x:c r="M400" s="22" t="n"/>
      <x:c r="N400" s="22" t="n"/>
    </x:row>
    <x:row r="401">
      <x:c r="A401" s="22" t="n"/>
      <x:c r="B401" s="22" t="n"/>
      <x:c r="C401" s="22" t="n"/>
      <x:c r="D401" s="22" t="n"/>
      <x:c r="E401" s="23" t="n"/>
      <x:c r="F401" s="22" t="n"/>
      <x:c r="G401" s="22" t="n"/>
      <x:c r="H401" s="22" t="n"/>
      <x:c r="I401" s="22" t="n"/>
      <x:c r="J401" s="22" t="n"/>
      <x:c r="K401" s="22" t="n"/>
      <x:c r="L401" s="22" t="n"/>
      <x:c r="M401" s="22" t="n"/>
      <x:c r="N401" s="22" t="n"/>
    </x:row>
    <x:row r="402">
      <x:c r="A402" s="22" t="n"/>
      <x:c r="B402" s="22" t="n"/>
      <x:c r="C402" s="22" t="n"/>
      <x:c r="D402" s="22" t="n"/>
      <x:c r="E402" s="23" t="n"/>
      <x:c r="F402" s="22" t="n"/>
      <x:c r="G402" s="22" t="n"/>
      <x:c r="H402" s="22" t="n"/>
      <x:c r="I402" s="22" t="n"/>
      <x:c r="J402" s="22" t="n"/>
      <x:c r="K402" s="22" t="n"/>
      <x:c r="L402" s="22" t="n"/>
      <x:c r="M402" s="22" t="n"/>
      <x:c r="N402" s="22" t="n"/>
    </x:row>
    <x:row r="403">
      <x:c r="A403" s="22" t="n"/>
      <x:c r="B403" s="22" t="n"/>
      <x:c r="C403" s="22" t="n"/>
      <x:c r="D403" s="22" t="n"/>
      <x:c r="E403" s="23" t="n"/>
      <x:c r="F403" s="22" t="n"/>
      <x:c r="G403" s="22" t="n"/>
      <x:c r="H403" s="22" t="n"/>
      <x:c r="I403" s="22" t="n"/>
      <x:c r="J403" s="22" t="n"/>
      <x:c r="K403" s="22" t="n"/>
      <x:c r="L403" s="22" t="n"/>
      <x:c r="M403" s="22" t="n"/>
      <x:c r="N403" s="22" t="n"/>
    </x:row>
    <x:row r="404">
      <x:c r="A404" s="22" t="n"/>
      <x:c r="B404" s="22" t="n"/>
      <x:c r="C404" s="22" t="n"/>
      <x:c r="D404" s="22" t="n"/>
      <x:c r="E404" s="23" t="n"/>
      <x:c r="F404" s="22" t="n"/>
      <x:c r="G404" s="22" t="n"/>
      <x:c r="H404" s="22" t="n"/>
      <x:c r="I404" s="22" t="n"/>
      <x:c r="J404" s="22" t="n"/>
      <x:c r="K404" s="22" t="n"/>
      <x:c r="L404" s="22" t="n"/>
      <x:c r="M404" s="22" t="n"/>
      <x:c r="N404" s="22" t="n"/>
    </x:row>
    <x:row r="405">
      <x:c r="A405" s="22" t="n"/>
      <x:c r="B405" s="22" t="n"/>
      <x:c r="C405" s="22" t="n"/>
      <x:c r="D405" s="22" t="n"/>
      <x:c r="E405" s="23" t="n"/>
      <x:c r="F405" s="22" t="n"/>
      <x:c r="G405" s="22" t="n"/>
      <x:c r="H405" s="22" t="n"/>
      <x:c r="I405" s="22" t="n"/>
      <x:c r="J405" s="22" t="n"/>
      <x:c r="K405" s="22" t="n"/>
      <x:c r="L405" s="22" t="n"/>
      <x:c r="M405" s="22" t="n"/>
      <x:c r="N405" s="22" t="n"/>
    </x:row>
    <x:row r="406">
      <x:c r="A406" s="22" t="n"/>
      <x:c r="B406" s="22" t="n"/>
      <x:c r="C406" s="22" t="n"/>
      <x:c r="D406" s="22" t="n"/>
      <x:c r="E406" s="23" t="n"/>
      <x:c r="F406" s="22" t="n"/>
      <x:c r="G406" s="22" t="n"/>
      <x:c r="H406" s="22" t="n"/>
      <x:c r="I406" s="22" t="n"/>
      <x:c r="J406" s="22" t="n"/>
      <x:c r="K406" s="22" t="n"/>
      <x:c r="L406" s="22" t="n"/>
      <x:c r="M406" s="22" t="n"/>
      <x:c r="N406" s="22" t="n"/>
    </x:row>
    <x:row r="407">
      <x:c r="A407" s="22" t="n"/>
      <x:c r="B407" s="22" t="n"/>
      <x:c r="C407" s="22" t="n"/>
      <x:c r="D407" s="22" t="n"/>
      <x:c r="E407" s="23" t="n"/>
      <x:c r="F407" s="22" t="n"/>
      <x:c r="G407" s="22" t="n"/>
      <x:c r="H407" s="22" t="n"/>
      <x:c r="I407" s="22" t="n"/>
      <x:c r="J407" s="22" t="n"/>
      <x:c r="K407" s="22" t="n"/>
      <x:c r="L407" s="22" t="n"/>
      <x:c r="M407" s="22" t="n"/>
      <x:c r="N407" s="22" t="n"/>
    </x:row>
    <x:row r="408">
      <x:c r="A408" s="22" t="n"/>
      <x:c r="B408" s="22" t="n"/>
      <x:c r="C408" s="22" t="n"/>
      <x:c r="D408" s="22" t="n"/>
      <x:c r="E408" s="23" t="n"/>
      <x:c r="F408" s="22" t="n"/>
      <x:c r="G408" s="22" t="n"/>
      <x:c r="H408" s="22" t="n"/>
      <x:c r="I408" s="22" t="n"/>
      <x:c r="J408" s="22" t="n"/>
      <x:c r="K408" s="22" t="n"/>
      <x:c r="L408" s="22" t="n"/>
      <x:c r="M408" s="22" t="n"/>
      <x:c r="N408" s="22" t="n"/>
    </x:row>
    <x:row r="409">
      <x:c r="A409" s="22" t="n"/>
      <x:c r="B409" s="22" t="n"/>
      <x:c r="C409" s="22" t="n"/>
      <x:c r="D409" s="22" t="n"/>
      <x:c r="E409" s="23" t="n"/>
      <x:c r="F409" s="22" t="n"/>
      <x:c r="G409" s="22" t="n"/>
      <x:c r="H409" s="22" t="n"/>
      <x:c r="I409" s="22" t="n"/>
      <x:c r="J409" s="22" t="n"/>
      <x:c r="K409" s="22" t="n"/>
      <x:c r="L409" s="22" t="n"/>
      <x:c r="M409" s="22" t="n"/>
      <x:c r="N409" s="22" t="n"/>
    </x:row>
    <x:row r="410">
      <x:c r="A410" s="22" t="n"/>
      <x:c r="B410" s="22" t="n"/>
      <x:c r="C410" s="22" t="n"/>
      <x:c r="D410" s="22" t="n"/>
      <x:c r="E410" s="23" t="n"/>
      <x:c r="F410" s="22" t="n"/>
      <x:c r="G410" s="22" t="n"/>
      <x:c r="H410" s="22" t="n"/>
      <x:c r="I410" s="22" t="n"/>
      <x:c r="J410" s="22" t="n"/>
      <x:c r="K410" s="22" t="n"/>
      <x:c r="L410" s="22" t="n"/>
      <x:c r="M410" s="22" t="n"/>
      <x:c r="N410" s="22" t="n"/>
    </x:row>
    <x:row r="411">
      <x:c r="A411" s="22" t="n"/>
      <x:c r="B411" s="22" t="n"/>
      <x:c r="C411" s="22" t="n"/>
      <x:c r="D411" s="22" t="n"/>
      <x:c r="E411" s="23" t="n"/>
      <x:c r="F411" s="22" t="n"/>
      <x:c r="G411" s="22" t="n"/>
      <x:c r="H411" s="22" t="n"/>
      <x:c r="I411" s="22" t="n"/>
      <x:c r="J411" s="22" t="n"/>
      <x:c r="K411" s="22" t="n"/>
      <x:c r="L411" s="22" t="n"/>
      <x:c r="M411" s="22" t="n"/>
      <x:c r="N411" s="22" t="n"/>
    </x:row>
    <x:row r="412">
      <x:c r="A412" s="22" t="n"/>
      <x:c r="B412" s="22" t="n"/>
      <x:c r="C412" s="22" t="n"/>
      <x:c r="D412" s="22" t="n"/>
      <x:c r="E412" s="23" t="n"/>
      <x:c r="F412" s="22" t="n"/>
      <x:c r="G412" s="22" t="n"/>
      <x:c r="H412" s="22" t="n"/>
      <x:c r="I412" s="22" t="n"/>
      <x:c r="J412" s="22" t="n"/>
      <x:c r="K412" s="22" t="n"/>
      <x:c r="L412" s="22" t="n"/>
      <x:c r="M412" s="22" t="n"/>
      <x:c r="N412" s="22" t="n"/>
    </x:row>
    <x:row r="413">
      <x:c r="A413" s="22" t="n"/>
      <x:c r="B413" s="22" t="n"/>
      <x:c r="C413" s="22" t="n"/>
      <x:c r="D413" s="22" t="n"/>
      <x:c r="E413" s="23" t="n"/>
      <x:c r="F413" s="22" t="n"/>
      <x:c r="G413" s="22" t="n"/>
      <x:c r="H413" s="22" t="n"/>
      <x:c r="I413" s="22" t="n"/>
      <x:c r="J413" s="22" t="n"/>
      <x:c r="K413" s="22" t="n"/>
      <x:c r="L413" s="22" t="n"/>
      <x:c r="M413" s="22" t="n"/>
      <x:c r="N413" s="22" t="n"/>
    </x:row>
    <x:row r="414">
      <x:c r="A414" s="22" t="n"/>
      <x:c r="B414" s="22" t="n"/>
      <x:c r="C414" s="22" t="n"/>
      <x:c r="D414" s="22" t="n"/>
      <x:c r="E414" s="23" t="n"/>
      <x:c r="F414" s="22" t="n"/>
      <x:c r="G414" s="22" t="n"/>
      <x:c r="H414" s="22" t="n"/>
      <x:c r="I414" s="22" t="n"/>
      <x:c r="J414" s="22" t="n"/>
      <x:c r="K414" s="22" t="n"/>
      <x:c r="L414" s="22" t="n"/>
      <x:c r="M414" s="22" t="n"/>
      <x:c r="N414" s="22" t="n"/>
    </x:row>
    <x:row r="415">
      <x:c r="A415" s="22" t="n"/>
      <x:c r="B415" s="22" t="n"/>
      <x:c r="C415" s="22" t="n"/>
      <x:c r="D415" s="22" t="n"/>
      <x:c r="E415" s="23" t="n"/>
      <x:c r="F415" s="22" t="n"/>
      <x:c r="G415" s="22" t="n"/>
      <x:c r="H415" s="22" t="n"/>
      <x:c r="I415" s="22" t="n"/>
      <x:c r="J415" s="22" t="n"/>
      <x:c r="K415" s="22" t="n"/>
      <x:c r="L415" s="22" t="n"/>
      <x:c r="M415" s="22" t="n"/>
      <x:c r="N415" s="22" t="n"/>
    </x:row>
    <x:row r="416">
      <x:c r="A416" s="22" t="n"/>
      <x:c r="B416" s="22" t="n"/>
      <x:c r="C416" s="22" t="n"/>
      <x:c r="D416" s="22" t="n"/>
      <x:c r="E416" s="23" t="n"/>
      <x:c r="F416" s="22" t="n"/>
      <x:c r="G416" s="22" t="n"/>
      <x:c r="H416" s="22" t="n"/>
      <x:c r="I416" s="22" t="n"/>
      <x:c r="J416" s="22" t="n"/>
      <x:c r="K416" s="22" t="n"/>
      <x:c r="L416" s="22" t="n"/>
      <x:c r="M416" s="22" t="n"/>
      <x:c r="N416" s="22" t="n"/>
    </x:row>
    <x:row r="417">
      <x:c r="A417" s="22" t="n"/>
      <x:c r="B417" s="22" t="n"/>
      <x:c r="C417" s="22" t="n"/>
      <x:c r="D417" s="22" t="n"/>
      <x:c r="E417" s="23" t="n"/>
      <x:c r="F417" s="22" t="n"/>
      <x:c r="G417" s="22" t="n"/>
      <x:c r="H417" s="22" t="n"/>
      <x:c r="I417" s="22" t="n"/>
      <x:c r="J417" s="22" t="n"/>
      <x:c r="K417" s="22" t="n"/>
      <x:c r="L417" s="22" t="n"/>
      <x:c r="M417" s="22" t="n"/>
      <x:c r="N417" s="22" t="n"/>
    </x:row>
    <x:row r="418">
      <x:c r="A418" s="22" t="n"/>
      <x:c r="B418" s="22" t="n"/>
      <x:c r="C418" s="22" t="n"/>
      <x:c r="D418" s="22" t="n"/>
      <x:c r="E418" s="23" t="n"/>
      <x:c r="F418" s="22" t="n"/>
      <x:c r="G418" s="22" t="n"/>
      <x:c r="H418" s="22" t="n"/>
      <x:c r="I418" s="22" t="n"/>
      <x:c r="J418" s="22" t="n"/>
      <x:c r="K418" s="22" t="n"/>
      <x:c r="L418" s="22" t="n"/>
      <x:c r="M418" s="22" t="n"/>
      <x:c r="N418" s="22" t="n"/>
    </x:row>
    <x:row r="419">
      <x:c r="A419" s="22" t="n"/>
      <x:c r="B419" s="22" t="n"/>
      <x:c r="C419" s="22" t="n"/>
      <x:c r="D419" s="22" t="n"/>
      <x:c r="E419" s="23" t="n"/>
      <x:c r="F419" s="22" t="n"/>
      <x:c r="G419" s="22" t="n"/>
      <x:c r="H419" s="22" t="n"/>
      <x:c r="I419" s="22" t="n"/>
      <x:c r="J419" s="22" t="n"/>
      <x:c r="K419" s="22" t="n"/>
      <x:c r="L419" s="22" t="n"/>
      <x:c r="M419" s="22" t="n"/>
      <x:c r="N419" s="22" t="n"/>
    </x:row>
    <x:row r="420">
      <x:c r="A420" s="22" t="n"/>
      <x:c r="B420" s="22" t="n"/>
      <x:c r="C420" s="22" t="n"/>
      <x:c r="D420" s="22" t="n"/>
      <x:c r="E420" s="23" t="n"/>
      <x:c r="F420" s="22" t="n"/>
      <x:c r="G420" s="22" t="n"/>
      <x:c r="H420" s="22" t="n"/>
      <x:c r="I420" s="22" t="n"/>
      <x:c r="J420" s="22" t="n"/>
      <x:c r="K420" s="22" t="n"/>
      <x:c r="L420" s="22" t="n"/>
      <x:c r="M420" s="22" t="n"/>
      <x:c r="N420" s="22" t="n"/>
    </x:row>
    <x:row r="421">
      <x:c r="A421" s="22" t="n"/>
      <x:c r="B421" s="22" t="n"/>
      <x:c r="C421" s="22" t="n"/>
      <x:c r="D421" s="22" t="n"/>
      <x:c r="E421" s="23" t="n"/>
      <x:c r="F421" s="22" t="n"/>
      <x:c r="G421" s="22" t="n"/>
      <x:c r="H421" s="22" t="n"/>
      <x:c r="I421" s="22" t="n"/>
      <x:c r="J421" s="22" t="n"/>
      <x:c r="K421" s="22" t="n"/>
      <x:c r="L421" s="22" t="n"/>
      <x:c r="M421" s="22" t="n"/>
      <x:c r="N421" s="22" t="n"/>
    </x:row>
    <x:row r="422">
      <x:c r="A422" s="22" t="n"/>
      <x:c r="B422" s="22" t="n"/>
      <x:c r="C422" s="22" t="n"/>
      <x:c r="D422" s="22" t="n"/>
      <x:c r="E422" s="23" t="n"/>
      <x:c r="F422" s="22" t="n"/>
      <x:c r="G422" s="22" t="n"/>
      <x:c r="H422" s="22" t="n"/>
      <x:c r="I422" s="22" t="n"/>
      <x:c r="J422" s="22" t="n"/>
      <x:c r="K422" s="22" t="n"/>
      <x:c r="L422" s="22" t="n"/>
      <x:c r="M422" s="22" t="n"/>
      <x:c r="N422" s="22" t="n"/>
    </x:row>
    <x:row r="423">
      <x:c r="A423" s="22" t="n"/>
      <x:c r="B423" s="22" t="n"/>
      <x:c r="C423" s="22" t="n"/>
      <x:c r="D423" s="22" t="n"/>
      <x:c r="E423" s="23" t="n"/>
      <x:c r="F423" s="22" t="n"/>
      <x:c r="G423" s="22" t="n"/>
      <x:c r="H423" s="22" t="n"/>
      <x:c r="I423" s="22" t="n"/>
      <x:c r="J423" s="22" t="n"/>
      <x:c r="K423" s="22" t="n"/>
      <x:c r="L423" s="22" t="n"/>
      <x:c r="M423" s="22" t="n"/>
      <x:c r="N423" s="22" t="n"/>
    </x:row>
    <x:row r="424">
      <x:c r="A424" s="22" t="n"/>
      <x:c r="B424" s="22" t="n"/>
      <x:c r="C424" s="22" t="n"/>
      <x:c r="D424" s="22" t="n"/>
      <x:c r="E424" s="23" t="n"/>
      <x:c r="F424" s="22" t="n"/>
      <x:c r="G424" s="22" t="n"/>
      <x:c r="H424" s="22" t="n"/>
      <x:c r="I424" s="22" t="n"/>
      <x:c r="J424" s="22" t="n"/>
      <x:c r="K424" s="22" t="n"/>
      <x:c r="L424" s="22" t="n"/>
      <x:c r="M424" s="22" t="n"/>
      <x:c r="N424" s="22" t="n"/>
    </x:row>
    <x:row r="425">
      <x:c r="A425" s="22" t="n"/>
      <x:c r="B425" s="22" t="n"/>
      <x:c r="C425" s="22" t="n"/>
      <x:c r="D425" s="22" t="n"/>
      <x:c r="E425" s="23" t="n"/>
      <x:c r="F425" s="22" t="n"/>
      <x:c r="G425" s="22" t="n"/>
      <x:c r="H425" s="22" t="n"/>
      <x:c r="I425" s="22" t="n"/>
      <x:c r="J425" s="22" t="n"/>
      <x:c r="K425" s="22" t="n"/>
      <x:c r="L425" s="22" t="n"/>
      <x:c r="M425" s="22" t="n"/>
      <x:c r="N425" s="22" t="n"/>
    </x:row>
    <x:row r="426">
      <x:c r="A426" s="22" t="n"/>
      <x:c r="B426" s="22" t="n"/>
      <x:c r="C426" s="22" t="n"/>
      <x:c r="D426" s="22" t="n"/>
      <x:c r="E426" s="23" t="n"/>
      <x:c r="F426" s="22" t="n"/>
      <x:c r="G426" s="22" t="n"/>
      <x:c r="H426" s="22" t="n"/>
      <x:c r="I426" s="22" t="n"/>
      <x:c r="J426" s="22" t="n"/>
      <x:c r="K426" s="22" t="n"/>
      <x:c r="L426" s="22" t="n"/>
      <x:c r="M426" s="22" t="n"/>
      <x:c r="N426" s="22" t="n"/>
    </x:row>
    <x:row r="427">
      <x:c r="A427" s="22" t="n"/>
      <x:c r="B427" s="22" t="n"/>
      <x:c r="C427" s="22" t="n"/>
      <x:c r="D427" s="22" t="n"/>
      <x:c r="E427" s="23" t="n"/>
      <x:c r="F427" s="22" t="n"/>
      <x:c r="G427" s="22" t="n"/>
      <x:c r="H427" s="22" t="n"/>
      <x:c r="I427" s="22" t="n"/>
      <x:c r="J427" s="22" t="n"/>
      <x:c r="K427" s="22" t="n"/>
      <x:c r="L427" s="22" t="n"/>
      <x:c r="M427" s="22" t="n"/>
      <x:c r="N427" s="22" t="n"/>
    </x:row>
    <x:row r="428">
      <x:c r="A428" s="22" t="n"/>
      <x:c r="B428" s="22" t="n"/>
      <x:c r="C428" s="22" t="n"/>
      <x:c r="D428" s="22" t="n"/>
      <x:c r="E428" s="23" t="n"/>
      <x:c r="F428" s="22" t="n"/>
      <x:c r="G428" s="22" t="n"/>
      <x:c r="H428" s="22" t="n"/>
      <x:c r="I428" s="22" t="n"/>
      <x:c r="J428" s="22" t="n"/>
      <x:c r="K428" s="22" t="n"/>
      <x:c r="L428" s="22" t="n"/>
      <x:c r="M428" s="22" t="n"/>
      <x:c r="N428" s="22" t="n"/>
    </x:row>
    <x:row r="429">
      <x:c r="A429" s="22" t="n"/>
      <x:c r="B429" s="22" t="n"/>
      <x:c r="C429" s="22" t="n"/>
      <x:c r="D429" s="22" t="n"/>
      <x:c r="E429" s="23" t="n"/>
      <x:c r="F429" s="22" t="n"/>
      <x:c r="G429" s="22" t="n"/>
      <x:c r="H429" s="22" t="n"/>
      <x:c r="I429" s="22" t="n"/>
      <x:c r="J429" s="22" t="n"/>
      <x:c r="K429" s="22" t="n"/>
      <x:c r="L429" s="22" t="n"/>
      <x:c r="M429" s="22" t="n"/>
      <x:c r="N429" s="22" t="n"/>
    </x:row>
    <x:row r="430">
      <x:c r="A430" s="22" t="n"/>
      <x:c r="B430" s="22" t="n"/>
      <x:c r="C430" s="22" t="n"/>
      <x:c r="D430" s="22" t="n"/>
      <x:c r="E430" s="23" t="n"/>
      <x:c r="F430" s="22" t="n"/>
      <x:c r="G430" s="22" t="n"/>
      <x:c r="H430" s="22" t="n"/>
      <x:c r="I430" s="22" t="n"/>
      <x:c r="J430" s="22" t="n"/>
      <x:c r="K430" s="22" t="n"/>
      <x:c r="L430" s="22" t="n"/>
      <x:c r="M430" s="22" t="n"/>
      <x:c r="N430" s="22" t="n"/>
    </x:row>
    <x:row r="431">
      <x:c r="A431" s="22" t="n"/>
      <x:c r="B431" s="22" t="n"/>
      <x:c r="C431" s="22" t="n"/>
      <x:c r="D431" s="22" t="n"/>
      <x:c r="E431" s="23" t="n"/>
      <x:c r="F431" s="22" t="n"/>
      <x:c r="G431" s="22" t="n"/>
      <x:c r="H431" s="22" t="n"/>
      <x:c r="I431" s="22" t="n"/>
      <x:c r="J431" s="22" t="n"/>
      <x:c r="K431" s="22" t="n"/>
      <x:c r="L431" s="22" t="n"/>
      <x:c r="M431" s="22" t="n"/>
      <x:c r="N431" s="22" t="n"/>
    </x:row>
    <x:row r="432">
      <x:c r="A432" s="22" t="n"/>
      <x:c r="B432" s="22" t="n"/>
      <x:c r="C432" s="22" t="n"/>
      <x:c r="D432" s="22" t="n"/>
      <x:c r="E432" s="23" t="n"/>
      <x:c r="F432" s="22" t="n"/>
      <x:c r="G432" s="22" t="n"/>
      <x:c r="H432" s="22" t="n"/>
      <x:c r="I432" s="22" t="n"/>
      <x:c r="J432" s="22" t="n"/>
      <x:c r="K432" s="22" t="n"/>
      <x:c r="L432" s="22" t="n"/>
      <x:c r="M432" s="22" t="n"/>
      <x:c r="N432" s="22" t="n"/>
    </x:row>
    <x:row r="433">
      <x:c r="A433" s="22" t="n"/>
      <x:c r="B433" s="22" t="n"/>
      <x:c r="C433" s="22" t="n"/>
      <x:c r="D433" s="22" t="n"/>
      <x:c r="E433" s="23" t="n"/>
      <x:c r="F433" s="22" t="n"/>
      <x:c r="G433" s="22" t="n"/>
      <x:c r="H433" s="22" t="n"/>
      <x:c r="I433" s="22" t="n"/>
      <x:c r="J433" s="22" t="n"/>
      <x:c r="K433" s="22" t="n"/>
      <x:c r="L433" s="22" t="n"/>
      <x:c r="M433" s="22" t="n"/>
      <x:c r="N433" s="22" t="n"/>
    </x:row>
    <x:row r="434">
      <x:c r="A434" s="22" t="n"/>
      <x:c r="B434" s="22" t="n"/>
      <x:c r="C434" s="22" t="n"/>
      <x:c r="D434" s="22" t="n"/>
      <x:c r="E434" s="23" t="n"/>
      <x:c r="F434" s="22" t="n"/>
      <x:c r="G434" s="22" t="n"/>
      <x:c r="H434" s="22" t="n"/>
      <x:c r="I434" s="22" t="n"/>
      <x:c r="J434" s="22" t="n"/>
      <x:c r="K434" s="22" t="n"/>
      <x:c r="L434" s="22" t="n"/>
      <x:c r="M434" s="22" t="n"/>
      <x:c r="N434" s="22" t="n"/>
    </x:row>
    <x:row r="435">
      <x:c r="A435" s="22" t="n"/>
      <x:c r="B435" s="22" t="n"/>
      <x:c r="C435" s="22" t="n"/>
      <x:c r="D435" s="22" t="n"/>
      <x:c r="E435" s="23" t="n"/>
      <x:c r="F435" s="22" t="n"/>
      <x:c r="G435" s="22" t="n"/>
      <x:c r="H435" s="22" t="n"/>
      <x:c r="I435" s="22" t="n"/>
      <x:c r="J435" s="22" t="n"/>
      <x:c r="K435" s="22" t="n"/>
      <x:c r="L435" s="22" t="n"/>
      <x:c r="M435" s="22" t="n"/>
      <x:c r="N435" s="22" t="n"/>
    </x:row>
    <x:row r="436">
      <x:c r="A436" s="22" t="n"/>
      <x:c r="B436" s="22" t="n"/>
      <x:c r="C436" s="22" t="n"/>
      <x:c r="D436" s="22" t="n"/>
      <x:c r="E436" s="23" t="n"/>
      <x:c r="F436" s="22" t="n"/>
      <x:c r="G436" s="22" t="n"/>
      <x:c r="H436" s="22" t="n"/>
      <x:c r="I436" s="22" t="n"/>
      <x:c r="J436" s="22" t="n"/>
      <x:c r="K436" s="22" t="n"/>
      <x:c r="L436" s="22" t="n"/>
      <x:c r="M436" s="22" t="n"/>
      <x:c r="N436" s="22" t="n"/>
    </x:row>
    <x:row r="437">
      <x:c r="A437" s="22" t="n"/>
      <x:c r="B437" s="22" t="n"/>
      <x:c r="C437" s="22" t="n"/>
      <x:c r="D437" s="22" t="n"/>
      <x:c r="E437" s="23" t="n"/>
      <x:c r="F437" s="22" t="n"/>
      <x:c r="G437" s="22" t="n"/>
      <x:c r="H437" s="22" t="n"/>
      <x:c r="I437" s="22" t="n"/>
      <x:c r="J437" s="22" t="n"/>
      <x:c r="K437" s="22" t="n"/>
      <x:c r="L437" s="22" t="n"/>
      <x:c r="M437" s="22" t="n"/>
      <x:c r="N437" s="22" t="n"/>
    </x:row>
    <x:row r="438">
      <x:c r="A438" s="22" t="n"/>
      <x:c r="B438" s="22" t="n"/>
      <x:c r="C438" s="22" t="n"/>
      <x:c r="D438" s="22" t="n"/>
      <x:c r="E438" s="23" t="n"/>
      <x:c r="F438" s="22" t="n"/>
      <x:c r="G438" s="22" t="n"/>
      <x:c r="H438" s="22" t="n"/>
      <x:c r="I438" s="22" t="n"/>
      <x:c r="J438" s="22" t="n"/>
      <x:c r="K438" s="22" t="n"/>
      <x:c r="L438" s="22" t="n"/>
      <x:c r="M438" s="22" t="n"/>
      <x:c r="N438" s="22" t="n"/>
    </x:row>
    <x:row r="439">
      <x:c r="A439" s="22" t="n"/>
      <x:c r="B439" s="22" t="n"/>
      <x:c r="C439" s="22" t="n"/>
      <x:c r="D439" s="22" t="n"/>
      <x:c r="E439" s="23" t="n"/>
      <x:c r="F439" s="22" t="n"/>
      <x:c r="G439" s="22" t="n"/>
      <x:c r="H439" s="22" t="n"/>
      <x:c r="I439" s="22" t="n"/>
      <x:c r="J439" s="22" t="n"/>
      <x:c r="K439" s="22" t="n"/>
      <x:c r="L439" s="22" t="n"/>
      <x:c r="M439" s="22" t="n"/>
      <x:c r="N439" s="22" t="n"/>
    </x:row>
    <x:row r="440">
      <x:c r="A440" s="22" t="n"/>
      <x:c r="B440" s="22" t="n"/>
      <x:c r="C440" s="22" t="n"/>
      <x:c r="D440" s="22" t="n"/>
      <x:c r="E440" s="23" t="n"/>
      <x:c r="F440" s="22" t="n"/>
      <x:c r="G440" s="22" t="n"/>
      <x:c r="H440" s="22" t="n"/>
      <x:c r="I440" s="22" t="n"/>
      <x:c r="J440" s="22" t="n"/>
      <x:c r="K440" s="22" t="n"/>
      <x:c r="L440" s="22" t="n"/>
      <x:c r="M440" s="22" t="n"/>
      <x:c r="N440" s="22" t="n"/>
    </x:row>
    <x:row r="441">
      <x:c r="A441" s="22" t="n"/>
      <x:c r="B441" s="22" t="n"/>
      <x:c r="C441" s="22" t="n"/>
      <x:c r="D441" s="22" t="n"/>
      <x:c r="E441" s="23" t="n"/>
      <x:c r="F441" s="22" t="n"/>
      <x:c r="G441" s="22" t="n"/>
      <x:c r="H441" s="22" t="n"/>
      <x:c r="I441" s="22" t="n"/>
      <x:c r="J441" s="22" t="n"/>
      <x:c r="K441" s="22" t="n"/>
      <x:c r="L441" s="22" t="n"/>
      <x:c r="M441" s="22" t="n"/>
      <x:c r="N441" s="22" t="n"/>
    </x:row>
    <x:row r="442">
      <x:c r="A442" s="22" t="n"/>
      <x:c r="B442" s="22" t="n"/>
      <x:c r="C442" s="22" t="n"/>
      <x:c r="D442" s="22" t="n"/>
      <x:c r="E442" s="23" t="n"/>
      <x:c r="F442" s="22" t="n"/>
      <x:c r="G442" s="22" t="n"/>
      <x:c r="H442" s="22" t="n"/>
      <x:c r="I442" s="22" t="n"/>
      <x:c r="J442" s="22" t="n"/>
      <x:c r="K442" s="22" t="n"/>
      <x:c r="L442" s="22" t="n"/>
      <x:c r="M442" s="22" t="n"/>
      <x:c r="N442" s="22" t="n"/>
    </x:row>
    <x:row r="443">
      <x:c r="A443" s="22" t="n"/>
      <x:c r="B443" s="22" t="n"/>
      <x:c r="C443" s="22" t="n"/>
      <x:c r="D443" s="22" t="n"/>
      <x:c r="E443" s="23" t="n"/>
      <x:c r="F443" s="22" t="n"/>
      <x:c r="G443" s="22" t="n"/>
      <x:c r="H443" s="22" t="n"/>
      <x:c r="I443" s="22" t="n"/>
      <x:c r="J443" s="22" t="n"/>
      <x:c r="K443" s="22" t="n"/>
      <x:c r="L443" s="22" t="n"/>
      <x:c r="M443" s="22" t="n"/>
      <x:c r="N443" s="22" t="n"/>
    </x:row>
    <x:row r="444">
      <x:c r="A444" s="22" t="n"/>
      <x:c r="B444" s="22" t="n"/>
      <x:c r="C444" s="22" t="n"/>
      <x:c r="D444" s="22" t="n"/>
      <x:c r="E444" s="23" t="n"/>
      <x:c r="F444" s="22" t="n"/>
      <x:c r="G444" s="22" t="n"/>
      <x:c r="H444" s="22" t="n"/>
      <x:c r="I444" s="22" t="n"/>
      <x:c r="J444" s="22" t="n"/>
      <x:c r="K444" s="22" t="n"/>
      <x:c r="L444" s="22" t="n"/>
      <x:c r="M444" s="22" t="n"/>
      <x:c r="N444" s="22" t="n"/>
    </x:row>
    <x:row r="445">
      <x:c r="A445" s="22" t="n"/>
      <x:c r="B445" s="22" t="n"/>
      <x:c r="C445" s="22" t="n"/>
      <x:c r="D445" s="22" t="n"/>
      <x:c r="E445" s="23" t="n"/>
      <x:c r="F445" s="22" t="n"/>
      <x:c r="G445" s="22" t="n"/>
      <x:c r="H445" s="22" t="n"/>
      <x:c r="I445" s="22" t="n"/>
      <x:c r="J445" s="22" t="n"/>
      <x:c r="K445" s="22" t="n"/>
      <x:c r="L445" s="22" t="n"/>
      <x:c r="M445" s="22" t="n"/>
      <x:c r="N445" s="22" t="n"/>
    </x:row>
    <x:row r="446">
      <x:c r="A446" s="22" t="n"/>
      <x:c r="B446" s="22" t="n"/>
      <x:c r="C446" s="22" t="n"/>
      <x:c r="D446" s="22" t="n"/>
      <x:c r="E446" s="23" t="n"/>
      <x:c r="F446" s="22" t="n"/>
      <x:c r="G446" s="22" t="n"/>
      <x:c r="H446" s="22" t="n"/>
      <x:c r="I446" s="22" t="n"/>
      <x:c r="J446" s="22" t="n"/>
      <x:c r="K446" s="22" t="n"/>
      <x:c r="L446" s="22" t="n"/>
      <x:c r="M446" s="22" t="n"/>
      <x:c r="N446" s="22" t="n"/>
    </x:row>
    <x:row r="447">
      <x:c r="A447" s="22" t="n"/>
      <x:c r="B447" s="22" t="n"/>
      <x:c r="C447" s="22" t="n"/>
      <x:c r="D447" s="22" t="n"/>
      <x:c r="E447" s="23" t="n"/>
      <x:c r="F447" s="22" t="n"/>
      <x:c r="G447" s="22" t="n"/>
      <x:c r="H447" s="22" t="n"/>
      <x:c r="I447" s="22" t="n"/>
      <x:c r="J447" s="22" t="n"/>
      <x:c r="K447" s="22" t="n"/>
      <x:c r="L447" s="22" t="n"/>
      <x:c r="M447" s="22" t="n"/>
      <x:c r="N447" s="22" t="n"/>
    </x:row>
    <x:row r="448">
      <x:c r="A448" s="22" t="n"/>
      <x:c r="B448" s="22" t="n"/>
      <x:c r="C448" s="22" t="n"/>
      <x:c r="D448" s="22" t="n"/>
      <x:c r="E448" s="23" t="n"/>
      <x:c r="F448" s="22" t="n"/>
      <x:c r="G448" s="22" t="n"/>
      <x:c r="H448" s="22" t="n"/>
      <x:c r="I448" s="22" t="n"/>
      <x:c r="J448" s="22" t="n"/>
      <x:c r="K448" s="22" t="n"/>
      <x:c r="L448" s="22" t="n"/>
      <x:c r="M448" s="22" t="n"/>
      <x:c r="N448" s="22" t="n"/>
    </x:row>
    <x:row r="449">
      <x:c r="A449" s="22" t="n"/>
      <x:c r="B449" s="22" t="n"/>
      <x:c r="C449" s="22" t="n"/>
      <x:c r="D449" s="22" t="n"/>
      <x:c r="E449" s="23" t="n"/>
      <x:c r="F449" s="22" t="n"/>
      <x:c r="G449" s="22" t="n"/>
      <x:c r="H449" s="22" t="n"/>
      <x:c r="I449" s="22" t="n"/>
      <x:c r="J449" s="22" t="n"/>
      <x:c r="K449" s="22" t="n"/>
      <x:c r="L449" s="22" t="n"/>
      <x:c r="M449" s="22" t="n"/>
      <x:c r="N449" s="22" t="n"/>
    </x:row>
    <x:row r="450">
      <x:c r="A450" s="22" t="n"/>
      <x:c r="B450" s="22" t="n"/>
      <x:c r="C450" s="22" t="n"/>
      <x:c r="D450" s="22" t="n"/>
      <x:c r="E450" s="23" t="n"/>
      <x:c r="F450" s="22" t="n"/>
      <x:c r="G450" s="22" t="n"/>
      <x:c r="H450" s="22" t="n"/>
      <x:c r="I450" s="22" t="n"/>
      <x:c r="J450" s="22" t="n"/>
      <x:c r="K450" s="22" t="n"/>
      <x:c r="L450" s="22" t="n"/>
      <x:c r="M450" s="22" t="n"/>
      <x:c r="N450" s="22" t="n"/>
    </x:row>
    <x:row r="451">
      <x:c r="A451" s="22" t="n"/>
      <x:c r="B451" s="22" t="n"/>
      <x:c r="C451" s="22" t="n"/>
      <x:c r="D451" s="22" t="n"/>
      <x:c r="E451" s="23" t="n"/>
      <x:c r="F451" s="22" t="n"/>
      <x:c r="G451" s="22" t="n"/>
      <x:c r="H451" s="22" t="n"/>
      <x:c r="I451" s="22" t="n"/>
      <x:c r="J451" s="22" t="n"/>
      <x:c r="K451" s="22" t="n"/>
      <x:c r="L451" s="22" t="n"/>
      <x:c r="M451" s="22" t="n"/>
      <x:c r="N451" s="22" t="n"/>
    </x:row>
    <x:row r="452">
      <x:c r="A452" s="22" t="n"/>
      <x:c r="B452" s="22" t="n"/>
      <x:c r="C452" s="22" t="n"/>
      <x:c r="D452" s="22" t="n"/>
      <x:c r="E452" s="23" t="n"/>
      <x:c r="F452" s="22" t="n"/>
      <x:c r="G452" s="22" t="n"/>
      <x:c r="H452" s="22" t="n"/>
      <x:c r="I452" s="22" t="n"/>
      <x:c r="J452" s="22" t="n"/>
      <x:c r="K452" s="22" t="n"/>
      <x:c r="L452" s="22" t="n"/>
      <x:c r="M452" s="22" t="n"/>
      <x:c r="N452" s="22" t="n"/>
    </x:row>
    <x:row r="453">
      <x:c r="A453" s="22" t="n"/>
      <x:c r="B453" s="22" t="n"/>
      <x:c r="C453" s="22" t="n"/>
      <x:c r="D453" s="22" t="n"/>
      <x:c r="E453" s="23" t="n"/>
      <x:c r="F453" s="22" t="n"/>
      <x:c r="G453" s="22" t="n"/>
      <x:c r="H453" s="22" t="n"/>
      <x:c r="I453" s="22" t="n"/>
      <x:c r="J453" s="22" t="n"/>
      <x:c r="K453" s="22" t="n"/>
      <x:c r="L453" s="22" t="n"/>
      <x:c r="M453" s="22" t="n"/>
      <x:c r="N453" s="22" t="n"/>
    </x:row>
    <x:row r="454">
      <x:c r="A454" s="22" t="n"/>
      <x:c r="B454" s="22" t="n"/>
      <x:c r="C454" s="22" t="n"/>
      <x:c r="D454" s="22" t="n"/>
      <x:c r="E454" s="23" t="n"/>
      <x:c r="F454" s="22" t="n"/>
      <x:c r="G454" s="22" t="n"/>
      <x:c r="H454" s="22" t="n"/>
      <x:c r="I454" s="22" t="n"/>
      <x:c r="J454" s="22" t="n"/>
      <x:c r="K454" s="22" t="n"/>
      <x:c r="L454" s="22" t="n"/>
      <x:c r="M454" s="22" t="n"/>
      <x:c r="N454" s="22" t="n"/>
    </x:row>
    <x:row r="455">
      <x:c r="A455" s="22" t="n"/>
      <x:c r="B455" s="22" t="n"/>
      <x:c r="C455" s="22" t="n"/>
      <x:c r="D455" s="22" t="n"/>
      <x:c r="E455" s="23" t="n"/>
      <x:c r="F455" s="22" t="n"/>
      <x:c r="G455" s="22" t="n"/>
      <x:c r="H455" s="22" t="n"/>
      <x:c r="I455" s="22" t="n"/>
      <x:c r="J455" s="22" t="n"/>
      <x:c r="K455" s="22" t="n"/>
      <x:c r="L455" s="22" t="n"/>
      <x:c r="M455" s="22" t="n"/>
      <x:c r="N455" s="22" t="n"/>
    </x:row>
    <x:row r="456">
      <x:c r="A456" s="22" t="n"/>
      <x:c r="B456" s="22" t="n"/>
      <x:c r="C456" s="22" t="n"/>
      <x:c r="D456" s="22" t="n"/>
      <x:c r="E456" s="23" t="n"/>
      <x:c r="F456" s="22" t="n"/>
      <x:c r="G456" s="22" t="n"/>
      <x:c r="H456" s="22" t="n"/>
      <x:c r="I456" s="22" t="n"/>
      <x:c r="J456" s="22" t="n"/>
      <x:c r="K456" s="22" t="n"/>
      <x:c r="L456" s="22" t="n"/>
      <x:c r="M456" s="22" t="n"/>
      <x:c r="N456" s="22" t="n"/>
    </x:row>
    <x:row r="457">
      <x:c r="A457" s="22" t="n"/>
      <x:c r="B457" s="22" t="n"/>
      <x:c r="C457" s="22" t="n"/>
      <x:c r="D457" s="22" t="n"/>
      <x:c r="E457" s="23" t="n"/>
      <x:c r="F457" s="22" t="n"/>
      <x:c r="G457" s="22" t="n"/>
      <x:c r="H457" s="22" t="n"/>
      <x:c r="I457" s="22" t="n"/>
      <x:c r="J457" s="22" t="n"/>
      <x:c r="K457" s="22" t="n"/>
      <x:c r="L457" s="22" t="n"/>
      <x:c r="M457" s="22" t="n"/>
      <x:c r="N457" s="22" t="n"/>
    </x:row>
    <x:row r="458">
      <x:c r="A458" s="22" t="n"/>
      <x:c r="B458" s="22" t="n"/>
      <x:c r="C458" s="22" t="n"/>
      <x:c r="D458" s="22" t="n"/>
      <x:c r="E458" s="23" t="n"/>
      <x:c r="F458" s="22" t="n"/>
      <x:c r="G458" s="22" t="n"/>
      <x:c r="H458" s="22" t="n"/>
      <x:c r="I458" s="22" t="n"/>
      <x:c r="J458" s="22" t="n"/>
      <x:c r="K458" s="22" t="n"/>
      <x:c r="L458" s="22" t="n"/>
      <x:c r="M458" s="22" t="n"/>
      <x:c r="N458" s="22" t="n"/>
    </x:row>
    <x:row r="459">
      <x:c r="A459" s="22" t="n"/>
      <x:c r="B459" s="22" t="n"/>
      <x:c r="C459" s="22" t="n"/>
      <x:c r="D459" s="22" t="n"/>
      <x:c r="E459" s="23" t="n"/>
      <x:c r="F459" s="22" t="n"/>
      <x:c r="G459" s="22" t="n"/>
      <x:c r="H459" s="22" t="n"/>
      <x:c r="I459" s="22" t="n"/>
      <x:c r="J459" s="22" t="n"/>
      <x:c r="K459" s="22" t="n"/>
      <x:c r="L459" s="22" t="n"/>
      <x:c r="M459" s="22" t="n"/>
      <x:c r="N459" s="22" t="n"/>
    </x:row>
    <x:row r="460">
      <x:c r="A460" s="22" t="n"/>
      <x:c r="B460" s="22" t="n"/>
      <x:c r="C460" s="22" t="n"/>
      <x:c r="D460" s="22" t="n"/>
      <x:c r="E460" s="23" t="n"/>
      <x:c r="F460" s="22" t="n"/>
      <x:c r="G460" s="22" t="n"/>
      <x:c r="H460" s="22" t="n"/>
      <x:c r="I460" s="22" t="n"/>
      <x:c r="J460" s="22" t="n"/>
      <x:c r="K460" s="22" t="n"/>
      <x:c r="L460" s="22" t="n"/>
      <x:c r="M460" s="22" t="n"/>
      <x:c r="N460" s="22" t="n"/>
    </x:row>
    <x:row r="461">
      <x:c r="A461" s="22" t="n"/>
      <x:c r="B461" s="22" t="n"/>
      <x:c r="C461" s="22" t="n"/>
      <x:c r="D461" s="22" t="n"/>
      <x:c r="E461" s="23" t="n"/>
      <x:c r="F461" s="22" t="n"/>
      <x:c r="G461" s="22" t="n"/>
      <x:c r="H461" s="22" t="n"/>
      <x:c r="I461" s="22" t="n"/>
      <x:c r="J461" s="22" t="n"/>
      <x:c r="K461" s="22" t="n"/>
      <x:c r="L461" s="22" t="n"/>
      <x:c r="M461" s="22" t="n"/>
      <x:c r="N461" s="22" t="n"/>
    </x:row>
    <x:row r="462">
      <x:c r="A462" s="22" t="n"/>
      <x:c r="B462" s="22" t="n"/>
      <x:c r="C462" s="22" t="n"/>
      <x:c r="D462" s="22" t="n"/>
      <x:c r="E462" s="23" t="n"/>
      <x:c r="F462" s="22" t="n"/>
      <x:c r="G462" s="22" t="n"/>
      <x:c r="H462" s="22" t="n"/>
      <x:c r="I462" s="22" t="n"/>
      <x:c r="J462" s="22" t="n"/>
      <x:c r="K462" s="22" t="n"/>
      <x:c r="L462" s="22" t="n"/>
      <x:c r="M462" s="22" t="n"/>
      <x:c r="N462" s="22" t="n"/>
    </x:row>
    <x:row r="463">
      <x:c r="A463" s="22" t="n"/>
      <x:c r="B463" s="22" t="n"/>
      <x:c r="C463" s="22" t="n"/>
      <x:c r="D463" s="22" t="n"/>
      <x:c r="E463" s="23" t="n"/>
      <x:c r="F463" s="22" t="n"/>
      <x:c r="G463" s="22" t="n"/>
      <x:c r="H463" s="22" t="n"/>
      <x:c r="I463" s="22" t="n"/>
      <x:c r="J463" s="22" t="n"/>
      <x:c r="K463" s="22" t="n"/>
      <x:c r="L463" s="22" t="n"/>
      <x:c r="M463" s="22" t="n"/>
      <x:c r="N463" s="22" t="n"/>
    </x:row>
    <x:row r="464">
      <x:c r="A464" s="22" t="n"/>
      <x:c r="B464" s="22" t="n"/>
      <x:c r="C464" s="22" t="n"/>
      <x:c r="D464" s="22" t="n"/>
      <x:c r="E464" s="23" t="n"/>
      <x:c r="F464" s="22" t="n"/>
      <x:c r="G464" s="22" t="n"/>
      <x:c r="H464" s="22" t="n"/>
      <x:c r="I464" s="22" t="n"/>
      <x:c r="J464" s="22" t="n"/>
      <x:c r="K464" s="22" t="n"/>
      <x:c r="L464" s="22" t="n"/>
      <x:c r="M464" s="22" t="n"/>
      <x:c r="N464" s="22" t="n"/>
    </x:row>
    <x:row r="465">
      <x:c r="A465" s="22" t="n"/>
      <x:c r="B465" s="22" t="n"/>
      <x:c r="C465" s="22" t="n"/>
      <x:c r="D465" s="22" t="n"/>
      <x:c r="E465" s="23" t="n"/>
      <x:c r="F465" s="22" t="n"/>
      <x:c r="G465" s="22" t="n"/>
      <x:c r="H465" s="22" t="n"/>
      <x:c r="I465" s="22" t="n"/>
      <x:c r="J465" s="22" t="n"/>
      <x:c r="K465" s="22" t="n"/>
      <x:c r="L465" s="22" t="n"/>
      <x:c r="M465" s="22" t="n"/>
      <x:c r="N465" s="22" t="n"/>
    </x:row>
    <x:row r="466">
      <x:c r="A466" s="22" t="n"/>
      <x:c r="B466" s="22" t="n"/>
      <x:c r="C466" s="22" t="n"/>
      <x:c r="D466" s="22" t="n"/>
      <x:c r="E466" s="23" t="n"/>
      <x:c r="F466" s="22" t="n"/>
      <x:c r="G466" s="22" t="n"/>
      <x:c r="H466" s="22" t="n"/>
      <x:c r="I466" s="22" t="n"/>
      <x:c r="J466" s="22" t="n"/>
      <x:c r="K466" s="22" t="n"/>
      <x:c r="L466" s="22" t="n"/>
      <x:c r="M466" s="22" t="n"/>
      <x:c r="N466" s="22" t="n"/>
    </x:row>
    <x:row r="467">
      <x:c r="A467" s="22" t="n"/>
      <x:c r="B467" s="22" t="n"/>
      <x:c r="C467" s="22" t="n"/>
      <x:c r="D467" s="22" t="n"/>
      <x:c r="E467" s="23" t="n"/>
      <x:c r="F467" s="22" t="n"/>
      <x:c r="G467" s="22" t="n"/>
      <x:c r="H467" s="22" t="n"/>
      <x:c r="I467" s="22" t="n"/>
      <x:c r="J467" s="22" t="n"/>
      <x:c r="K467" s="22" t="n"/>
      <x:c r="L467" s="22" t="n"/>
      <x:c r="M467" s="22" t="n"/>
      <x:c r="N467" s="22" t="n"/>
    </x:row>
    <x:row r="468">
      <x:c r="A468" s="22" t="n"/>
      <x:c r="B468" s="22" t="n"/>
      <x:c r="C468" s="22" t="n"/>
      <x:c r="D468" s="22" t="n"/>
      <x:c r="E468" s="23" t="n"/>
      <x:c r="F468" s="22" t="n"/>
      <x:c r="G468" s="22" t="n"/>
      <x:c r="H468" s="22" t="n"/>
      <x:c r="I468" s="22" t="n"/>
      <x:c r="J468" s="22" t="n"/>
      <x:c r="K468" s="22" t="n"/>
      <x:c r="L468" s="22" t="n"/>
      <x:c r="M468" s="22" t="n"/>
      <x:c r="N468" s="22" t="n"/>
    </x:row>
    <x:row r="469">
      <x:c r="A469" s="22" t="n"/>
      <x:c r="B469" s="22" t="n"/>
      <x:c r="C469" s="22" t="n"/>
      <x:c r="D469" s="22" t="n"/>
      <x:c r="E469" s="23" t="n"/>
      <x:c r="F469" s="22" t="n"/>
      <x:c r="G469" s="22" t="n"/>
      <x:c r="H469" s="22" t="n"/>
      <x:c r="I469" s="22" t="n"/>
      <x:c r="J469" s="22" t="n"/>
      <x:c r="K469" s="22" t="n"/>
      <x:c r="L469" s="22" t="n"/>
      <x:c r="M469" s="22" t="n"/>
      <x:c r="N469" s="22" t="n"/>
    </x:row>
    <x:row r="470">
      <x:c r="A470" s="22" t="n"/>
      <x:c r="B470" s="22" t="n"/>
      <x:c r="C470" s="22" t="n"/>
      <x:c r="D470" s="22" t="n"/>
      <x:c r="E470" s="23" t="n"/>
      <x:c r="F470" s="22" t="n"/>
      <x:c r="G470" s="22" t="n"/>
      <x:c r="H470" s="22" t="n"/>
      <x:c r="I470" s="22" t="n"/>
      <x:c r="J470" s="22" t="n"/>
      <x:c r="K470" s="22" t="n"/>
      <x:c r="L470" s="22" t="n"/>
      <x:c r="M470" s="22" t="n"/>
      <x:c r="N470" s="22" t="n"/>
    </x:row>
    <x:row r="471">
      <x:c r="A471" s="22" t="n"/>
      <x:c r="B471" s="22" t="n"/>
      <x:c r="C471" s="22" t="n"/>
      <x:c r="D471" s="22" t="n"/>
      <x:c r="E471" s="23" t="n"/>
      <x:c r="F471" s="22" t="n"/>
      <x:c r="G471" s="22" t="n"/>
      <x:c r="H471" s="22" t="n"/>
      <x:c r="I471" s="22" t="n"/>
      <x:c r="J471" s="22" t="n"/>
      <x:c r="K471" s="22" t="n"/>
      <x:c r="L471" s="22" t="n"/>
      <x:c r="M471" s="22" t="n"/>
      <x:c r="N471" s="22" t="n"/>
    </x:row>
    <x:row r="472">
      <x:c r="A472" s="22" t="n"/>
      <x:c r="B472" s="22" t="n"/>
      <x:c r="C472" s="22" t="n"/>
      <x:c r="D472" s="22" t="n"/>
      <x:c r="E472" s="23" t="n"/>
      <x:c r="F472" s="22" t="n"/>
      <x:c r="G472" s="22" t="n"/>
      <x:c r="H472" s="22" t="n"/>
      <x:c r="I472" s="22" t="n"/>
      <x:c r="J472" s="22" t="n"/>
      <x:c r="K472" s="22" t="n"/>
      <x:c r="L472" s="22" t="n"/>
      <x:c r="M472" s="22" t="n"/>
      <x:c r="N472" s="22" t="n"/>
    </x:row>
    <x:row r="473">
      <x:c r="A473" s="22" t="n"/>
      <x:c r="B473" s="22" t="n"/>
      <x:c r="C473" s="22" t="n"/>
      <x:c r="D473" s="22" t="n"/>
      <x:c r="E473" s="23" t="n"/>
      <x:c r="F473" s="22" t="n"/>
      <x:c r="G473" s="22" t="n"/>
      <x:c r="H473" s="22" t="n"/>
      <x:c r="I473" s="22" t="n"/>
      <x:c r="J473" s="22" t="n"/>
      <x:c r="K473" s="22" t="n"/>
      <x:c r="L473" s="22" t="n"/>
      <x:c r="M473" s="22" t="n"/>
      <x:c r="N473" s="22" t="n"/>
    </x:row>
    <x:row r="474">
      <x:c r="A474" s="22" t="n"/>
      <x:c r="B474" s="22" t="n"/>
      <x:c r="C474" s="22" t="n"/>
      <x:c r="D474" s="22" t="n"/>
      <x:c r="E474" s="23" t="n"/>
      <x:c r="F474" s="22" t="n"/>
      <x:c r="G474" s="22" t="n"/>
      <x:c r="H474" s="22" t="n"/>
      <x:c r="I474" s="22" t="n"/>
      <x:c r="J474" s="22" t="n"/>
      <x:c r="K474" s="22" t="n"/>
      <x:c r="L474" s="22" t="n"/>
      <x:c r="M474" s="22" t="n"/>
      <x:c r="N474" s="22" t="n"/>
    </x:row>
    <x:row r="475">
      <x:c r="A475" s="22" t="n"/>
      <x:c r="B475" s="22" t="n"/>
      <x:c r="C475" s="22" t="n"/>
      <x:c r="D475" s="22" t="n"/>
      <x:c r="E475" s="23" t="n"/>
      <x:c r="F475" s="22" t="n"/>
      <x:c r="G475" s="22" t="n"/>
      <x:c r="H475" s="22" t="n"/>
      <x:c r="I475" s="22" t="n"/>
      <x:c r="J475" s="22" t="n"/>
      <x:c r="K475" s="22" t="n"/>
      <x:c r="L475" s="22" t="n"/>
      <x:c r="M475" s="22" t="n"/>
      <x:c r="N475" s="22" t="n"/>
    </x:row>
    <x:row r="476">
      <x:c r="A476" s="22" t="n"/>
      <x:c r="B476" s="22" t="n"/>
      <x:c r="C476" s="22" t="n"/>
      <x:c r="D476" s="22" t="n"/>
      <x:c r="E476" s="23" t="n"/>
      <x:c r="F476" s="22" t="n"/>
      <x:c r="G476" s="22" t="n"/>
      <x:c r="H476" s="22" t="n"/>
      <x:c r="I476" s="22" t="n"/>
      <x:c r="J476" s="22" t="n"/>
      <x:c r="K476" s="22" t="n"/>
      <x:c r="L476" s="22" t="n"/>
      <x:c r="M476" s="22" t="n"/>
      <x:c r="N476" s="22" t="n"/>
    </x:row>
    <x:row r="477">
      <x:c r="A477" s="22" t="n"/>
      <x:c r="B477" s="22" t="n"/>
      <x:c r="C477" s="22" t="n"/>
      <x:c r="D477" s="22" t="n"/>
      <x:c r="E477" s="23" t="n"/>
      <x:c r="F477" s="22" t="n"/>
      <x:c r="G477" s="22" t="n"/>
      <x:c r="H477" s="22" t="n"/>
      <x:c r="I477" s="22" t="n"/>
      <x:c r="J477" s="22" t="n"/>
      <x:c r="K477" s="22" t="n"/>
      <x:c r="L477" s="22" t="n"/>
      <x:c r="M477" s="22" t="n"/>
      <x:c r="N477" s="22" t="n"/>
    </x:row>
    <x:row r="478">
      <x:c r="A478" s="22" t="n"/>
      <x:c r="B478" s="22" t="n"/>
      <x:c r="C478" s="22" t="n"/>
      <x:c r="D478" s="22" t="n"/>
      <x:c r="E478" s="23" t="n"/>
      <x:c r="F478" s="22" t="n"/>
      <x:c r="G478" s="22" t="n"/>
      <x:c r="H478" s="22" t="n"/>
      <x:c r="I478" s="22" t="n"/>
      <x:c r="J478" s="22" t="n"/>
      <x:c r="K478" s="22" t="n"/>
      <x:c r="L478" s="22" t="n"/>
      <x:c r="M478" s="22" t="n"/>
      <x:c r="N478" s="22" t="n"/>
    </x:row>
    <x:row r="479">
      <x:c r="A479" s="22" t="n"/>
      <x:c r="B479" s="22" t="n"/>
      <x:c r="C479" s="22" t="n"/>
      <x:c r="D479" s="22" t="n"/>
      <x:c r="E479" s="23" t="n"/>
      <x:c r="F479" s="22" t="n"/>
      <x:c r="G479" s="22" t="n"/>
      <x:c r="H479" s="22" t="n"/>
      <x:c r="I479" s="22" t="n"/>
      <x:c r="J479" s="22" t="n"/>
      <x:c r="K479" s="22" t="n"/>
      <x:c r="L479" s="22" t="n"/>
      <x:c r="M479" s="22" t="n"/>
      <x:c r="N479" s="22" t="n"/>
    </x:row>
    <x:row r="480">
      <x:c r="A480" s="22" t="n"/>
      <x:c r="B480" s="22" t="n"/>
      <x:c r="C480" s="22" t="n"/>
      <x:c r="D480" s="22" t="n"/>
      <x:c r="E480" s="23" t="n"/>
      <x:c r="F480" s="22" t="n"/>
      <x:c r="G480" s="22" t="n"/>
      <x:c r="H480" s="22" t="n"/>
      <x:c r="I480" s="22" t="n"/>
      <x:c r="J480" s="22" t="n"/>
      <x:c r="K480" s="22" t="n"/>
      <x:c r="L480" s="22" t="n"/>
      <x:c r="M480" s="22" t="n"/>
      <x:c r="N480" s="22" t="n"/>
    </x:row>
    <x:row r="481">
      <x:c r="A481" s="22" t="n"/>
      <x:c r="B481" s="22" t="n"/>
      <x:c r="C481" s="22" t="n"/>
      <x:c r="D481" s="22" t="n"/>
      <x:c r="E481" s="23" t="n"/>
      <x:c r="F481" s="22" t="n"/>
      <x:c r="G481" s="22" t="n"/>
      <x:c r="H481" s="22" t="n"/>
      <x:c r="I481" s="22" t="n"/>
      <x:c r="J481" s="22" t="n"/>
      <x:c r="K481" s="22" t="n"/>
      <x:c r="L481" s="22" t="n"/>
      <x:c r="M481" s="22" t="n"/>
      <x:c r="N481" s="22" t="n"/>
    </x:row>
    <x:row r="482">
      <x:c r="A482" s="22" t="n"/>
      <x:c r="B482" s="22" t="n"/>
      <x:c r="C482" s="22" t="n"/>
      <x:c r="D482" s="22" t="n"/>
      <x:c r="E482" s="23" t="n"/>
      <x:c r="F482" s="22" t="n"/>
      <x:c r="G482" s="22" t="n"/>
      <x:c r="H482" s="22" t="n"/>
      <x:c r="I482" s="22" t="n"/>
      <x:c r="J482" s="22" t="n"/>
      <x:c r="K482" s="22" t="n"/>
      <x:c r="L482" s="22" t="n"/>
      <x:c r="M482" s="22" t="n"/>
      <x:c r="N482" s="22" t="n"/>
    </x:row>
    <x:row r="483">
      <x:c r="A483" s="22" t="n"/>
      <x:c r="B483" s="22" t="n"/>
      <x:c r="C483" s="22" t="n"/>
      <x:c r="D483" s="22" t="n"/>
      <x:c r="E483" s="23" t="n"/>
      <x:c r="F483" s="22" t="n"/>
      <x:c r="G483" s="22" t="n"/>
      <x:c r="H483" s="22" t="n"/>
      <x:c r="I483" s="22" t="n"/>
      <x:c r="J483" s="22" t="n"/>
      <x:c r="K483" s="22" t="n"/>
      <x:c r="L483" s="22" t="n"/>
      <x:c r="M483" s="22" t="n"/>
      <x:c r="N483" s="22" t="n"/>
    </x:row>
    <x:row r="484">
      <x:c r="A484" s="22" t="n"/>
      <x:c r="B484" s="22" t="n"/>
      <x:c r="C484" s="22" t="n"/>
      <x:c r="D484" s="22" t="n"/>
      <x:c r="E484" s="23" t="n"/>
      <x:c r="F484" s="22" t="n"/>
      <x:c r="G484" s="22" t="n"/>
      <x:c r="H484" s="22" t="n"/>
      <x:c r="I484" s="22" t="n"/>
      <x:c r="J484" s="22" t="n"/>
      <x:c r="K484" s="22" t="n"/>
      <x:c r="L484" s="22" t="n"/>
      <x:c r="M484" s="22" t="n"/>
      <x:c r="N484" s="22" t="n"/>
    </x:row>
    <x:row r="485">
      <x:c r="A485" s="22" t="n"/>
      <x:c r="B485" s="22" t="n"/>
      <x:c r="C485" s="22" t="n"/>
      <x:c r="D485" s="22" t="n"/>
      <x:c r="E485" s="23" t="n"/>
      <x:c r="F485" s="22" t="n"/>
      <x:c r="G485" s="22" t="n"/>
      <x:c r="H485" s="22" t="n"/>
      <x:c r="I485" s="22" t="n"/>
      <x:c r="J485" s="22" t="n"/>
      <x:c r="K485" s="22" t="n"/>
      <x:c r="L485" s="22" t="n"/>
      <x:c r="M485" s="22" t="n"/>
      <x:c r="N485" s="22" t="n"/>
    </x:row>
    <x:row r="486">
      <x:c r="A486" s="22" t="n"/>
      <x:c r="B486" s="22" t="n"/>
      <x:c r="C486" s="22" t="n"/>
      <x:c r="D486" s="22" t="n"/>
      <x:c r="E486" s="23" t="n"/>
      <x:c r="F486" s="22" t="n"/>
      <x:c r="G486" s="22" t="n"/>
      <x:c r="H486" s="22" t="n"/>
      <x:c r="I486" s="22" t="n"/>
      <x:c r="J486" s="22" t="n"/>
      <x:c r="K486" s="22" t="n"/>
      <x:c r="L486" s="22" t="n"/>
      <x:c r="M486" s="22" t="n"/>
      <x:c r="N486" s="22" t="n"/>
    </x:row>
    <x:row r="487">
      <x:c r="A487" s="22" t="n"/>
      <x:c r="B487" s="22" t="n"/>
      <x:c r="C487" s="22" t="n"/>
      <x:c r="D487" s="22" t="n"/>
      <x:c r="E487" s="23" t="n"/>
      <x:c r="F487" s="22" t="n"/>
      <x:c r="G487" s="22" t="n"/>
      <x:c r="H487" s="22" t="n"/>
      <x:c r="I487" s="22" t="n"/>
      <x:c r="J487" s="22" t="n"/>
      <x:c r="K487" s="22" t="n"/>
      <x:c r="L487" s="22" t="n"/>
      <x:c r="M487" s="22" t="n"/>
      <x:c r="N487" s="22" t="n"/>
    </x:row>
    <x:row r="488">
      <x:c r="A488" s="22" t="n"/>
      <x:c r="B488" s="22" t="n"/>
      <x:c r="C488" s="22" t="n"/>
      <x:c r="D488" s="22" t="n"/>
      <x:c r="E488" s="23" t="n"/>
      <x:c r="F488" s="22" t="n"/>
      <x:c r="G488" s="22" t="n"/>
      <x:c r="H488" s="22" t="n"/>
      <x:c r="I488" s="22" t="n"/>
      <x:c r="J488" s="22" t="n"/>
      <x:c r="K488" s="22" t="n"/>
      <x:c r="L488" s="22" t="n"/>
      <x:c r="M488" s="22" t="n"/>
      <x:c r="N488" s="22" t="n"/>
    </x:row>
    <x:row r="489">
      <x:c r="A489" s="22" t="n"/>
      <x:c r="B489" s="22" t="n"/>
      <x:c r="C489" s="22" t="n"/>
      <x:c r="D489" s="22" t="n"/>
      <x:c r="E489" s="23" t="n"/>
      <x:c r="F489" s="22" t="n"/>
      <x:c r="G489" s="22" t="n"/>
      <x:c r="H489" s="22" t="n"/>
      <x:c r="I489" s="22" t="n"/>
      <x:c r="J489" s="22" t="n"/>
      <x:c r="K489" s="22" t="n"/>
      <x:c r="L489" s="22" t="n"/>
      <x:c r="M489" s="22" t="n"/>
      <x:c r="N489" s="22" t="n"/>
    </x:row>
    <x:row r="490">
      <x:c r="A490" s="22" t="n"/>
      <x:c r="B490" s="22" t="n"/>
      <x:c r="C490" s="22" t="n"/>
      <x:c r="D490" s="22" t="n"/>
      <x:c r="E490" s="23" t="n"/>
      <x:c r="F490" s="22" t="n"/>
      <x:c r="G490" s="22" t="n"/>
      <x:c r="H490" s="22" t="n"/>
      <x:c r="I490" s="22" t="n"/>
      <x:c r="J490" s="22" t="n"/>
      <x:c r="K490" s="22" t="n"/>
      <x:c r="L490" s="22" t="n"/>
      <x:c r="M490" s="22" t="n"/>
      <x:c r="N490" s="22" t="n"/>
    </x:row>
    <x:row r="491">
      <x:c r="A491" s="22" t="n"/>
      <x:c r="B491" s="22" t="n"/>
      <x:c r="C491" s="22" t="n"/>
      <x:c r="D491" s="22" t="n"/>
      <x:c r="E491" s="23" t="n"/>
      <x:c r="F491" s="22" t="n"/>
      <x:c r="G491" s="22" t="n"/>
      <x:c r="H491" s="22" t="n"/>
      <x:c r="I491" s="22" t="n"/>
      <x:c r="J491" s="22" t="n"/>
      <x:c r="K491" s="22" t="n"/>
      <x:c r="L491" s="22" t="n"/>
      <x:c r="M491" s="22" t="n"/>
      <x:c r="N491" s="22" t="n"/>
    </x:row>
    <x:row r="492">
      <x:c r="A492" s="22" t="n"/>
      <x:c r="B492" s="22" t="n"/>
      <x:c r="C492" s="22" t="n"/>
      <x:c r="D492" s="22" t="n"/>
      <x:c r="E492" s="23" t="n"/>
      <x:c r="F492" s="22" t="n"/>
      <x:c r="G492" s="22" t="n"/>
      <x:c r="H492" s="22" t="n"/>
      <x:c r="I492" s="22" t="n"/>
      <x:c r="J492" s="22" t="n"/>
      <x:c r="K492" s="22" t="n"/>
      <x:c r="L492" s="22" t="n"/>
      <x:c r="M492" s="22" t="n"/>
      <x:c r="N492" s="22" t="n"/>
    </x:row>
    <x:row r="493">
      <x:c r="A493" s="22" t="n"/>
      <x:c r="B493" s="22" t="n"/>
      <x:c r="C493" s="22" t="n"/>
      <x:c r="D493" s="22" t="n"/>
      <x:c r="E493" s="23" t="n"/>
      <x:c r="F493" s="22" t="n"/>
      <x:c r="G493" s="22" t="n"/>
      <x:c r="H493" s="22" t="n"/>
      <x:c r="I493" s="22" t="n"/>
      <x:c r="J493" s="22" t="n"/>
      <x:c r="K493" s="22" t="n"/>
      <x:c r="L493" s="22" t="n"/>
      <x:c r="M493" s="22" t="n"/>
      <x:c r="N493" s="22" t="n"/>
    </x:row>
    <x:row r="494">
      <x:c r="A494" s="22" t="n"/>
      <x:c r="B494" s="22" t="n"/>
      <x:c r="C494" s="22" t="n"/>
      <x:c r="D494" s="22" t="n"/>
      <x:c r="E494" s="23" t="n"/>
      <x:c r="F494" s="22" t="n"/>
      <x:c r="G494" s="22" t="n"/>
      <x:c r="H494" s="22" t="n"/>
      <x:c r="I494" s="22" t="n"/>
      <x:c r="J494" s="22" t="n"/>
      <x:c r="K494" s="22" t="n"/>
      <x:c r="L494" s="22" t="n"/>
      <x:c r="M494" s="22" t="n"/>
      <x:c r="N494" s="22" t="n"/>
    </x:row>
    <x:row r="495">
      <x:c r="A495" s="22" t="n"/>
      <x:c r="B495" s="22" t="n"/>
      <x:c r="C495" s="22" t="n"/>
      <x:c r="D495" s="22" t="n"/>
      <x:c r="E495" s="23" t="n"/>
      <x:c r="F495" s="22" t="n"/>
      <x:c r="G495" s="22" t="n"/>
      <x:c r="H495" s="22" t="n"/>
      <x:c r="I495" s="22" t="n"/>
      <x:c r="J495" s="22" t="n"/>
      <x:c r="K495" s="22" t="n"/>
      <x:c r="L495" s="22" t="n"/>
      <x:c r="M495" s="22" t="n"/>
      <x:c r="N495" s="22" t="n"/>
    </x:row>
    <x:row r="496">
      <x:c r="A496" s="22" t="n"/>
      <x:c r="B496" s="22" t="n"/>
      <x:c r="C496" s="22" t="n"/>
      <x:c r="D496" s="22" t="n"/>
      <x:c r="E496" s="23" t="n"/>
      <x:c r="F496" s="22" t="n"/>
      <x:c r="G496" s="22" t="n"/>
      <x:c r="H496" s="22" t="n"/>
      <x:c r="I496" s="22" t="n"/>
      <x:c r="J496" s="22" t="n"/>
      <x:c r="K496" s="22" t="n"/>
      <x:c r="L496" s="22" t="n"/>
      <x:c r="M496" s="22" t="n"/>
      <x:c r="N496" s="22" t="n"/>
    </x:row>
    <x:row r="497">
      <x:c r="A497" s="22" t="n"/>
      <x:c r="B497" s="22" t="n"/>
      <x:c r="C497" s="22" t="n"/>
      <x:c r="D497" s="22" t="n"/>
      <x:c r="E497" s="23" t="n"/>
      <x:c r="F497" s="22" t="n"/>
      <x:c r="G497" s="22" t="n"/>
      <x:c r="H497" s="22" t="n"/>
      <x:c r="I497" s="22" t="n"/>
      <x:c r="J497" s="22" t="n"/>
      <x:c r="K497" s="22" t="n"/>
      <x:c r="L497" s="22" t="n"/>
      <x:c r="M497" s="22" t="n"/>
      <x:c r="N497" s="22" t="n"/>
    </x:row>
    <x:row r="498">
      <x:c r="A498" s="22" t="n"/>
      <x:c r="B498" s="22" t="n"/>
      <x:c r="C498" s="22" t="n"/>
      <x:c r="D498" s="22" t="n"/>
      <x:c r="E498" s="23" t="n"/>
      <x:c r="F498" s="22" t="n"/>
      <x:c r="G498" s="22" t="n"/>
      <x:c r="H498" s="22" t="n"/>
      <x:c r="I498" s="22" t="n"/>
      <x:c r="J498" s="22" t="n"/>
      <x:c r="K498" s="22" t="n"/>
      <x:c r="L498" s="22" t="n"/>
      <x:c r="M498" s="22" t="n"/>
      <x:c r="N498" s="22" t="n"/>
    </x:row>
    <x:row r="499">
      <x:c r="A499" s="22" t="n"/>
      <x:c r="B499" s="22" t="n"/>
      <x:c r="C499" s="22" t="n"/>
      <x:c r="D499" s="22" t="n"/>
      <x:c r="E499" s="23" t="n"/>
      <x:c r="F499" s="22" t="n"/>
      <x:c r="G499" s="22" t="n"/>
      <x:c r="H499" s="22" t="n"/>
      <x:c r="I499" s="22" t="n"/>
      <x:c r="J499" s="22" t="n"/>
      <x:c r="K499" s="22" t="n"/>
      <x:c r="L499" s="22" t="n"/>
      <x:c r="M499" s="22" t="n"/>
      <x:c r="N499" s="22" t="n"/>
    </x:row>
    <x:row r="500">
      <x:c r="A500" s="22" t="n"/>
      <x:c r="B500" s="22" t="n"/>
      <x:c r="C500" s="22" t="n"/>
      <x:c r="D500" s="22" t="n"/>
      <x:c r="E500" s="23" t="n"/>
      <x:c r="F500" s="22" t="n"/>
      <x:c r="G500" s="22" t="n"/>
      <x:c r="H500" s="22" t="n"/>
      <x:c r="I500" s="22" t="n"/>
      <x:c r="J500" s="22" t="n"/>
      <x:c r="K500" s="22" t="n"/>
      <x:c r="L500" s="22" t="n"/>
      <x:c r="M500" s="22" t="n"/>
      <x:c r="N500" s="22" t="n"/>
    </x:row>
    <x:row r="501">
      <x:c r="A501" s="22" t="n"/>
      <x:c r="B501" s="22" t="n"/>
      <x:c r="C501" s="22" t="n"/>
      <x:c r="D501" s="22" t="n"/>
      <x:c r="E501" s="23" t="n"/>
      <x:c r="F501" s="22" t="n"/>
      <x:c r="G501" s="22" t="n"/>
      <x:c r="H501" s="22" t="n"/>
      <x:c r="I501" s="22" t="n"/>
      <x:c r="J501" s="22" t="n"/>
      <x:c r="K501" s="22" t="n"/>
      <x:c r="L501" s="22" t="n"/>
      <x:c r="M501" s="22" t="n"/>
      <x:c r="N501" s="22" t="n"/>
    </x:row>
    <x:row r="502">
      <x:c r="A502" s="22" t="n"/>
      <x:c r="B502" s="22" t="n"/>
      <x:c r="C502" s="22" t="n"/>
      <x:c r="D502" s="22" t="n"/>
      <x:c r="E502" s="23" t="n"/>
      <x:c r="F502" s="22" t="n"/>
      <x:c r="G502" s="22" t="n"/>
      <x:c r="H502" s="22" t="n"/>
      <x:c r="I502" s="22" t="n"/>
      <x:c r="J502" s="22" t="n"/>
      <x:c r="K502" s="22" t="n"/>
      <x:c r="L502" s="22" t="n"/>
      <x:c r="M502" s="22" t="n"/>
      <x:c r="N502" s="22" t="n"/>
    </x:row>
    <x:row r="503">
      <x:c r="A503" s="22" t="n"/>
      <x:c r="B503" s="22" t="n"/>
      <x:c r="C503" s="22" t="n"/>
      <x:c r="D503" s="22" t="n"/>
      <x:c r="E503" s="23" t="n"/>
      <x:c r="F503" s="22" t="n"/>
      <x:c r="G503" s="22" t="n"/>
      <x:c r="H503" s="22" t="n"/>
      <x:c r="I503" s="22" t="n"/>
      <x:c r="J503" s="22" t="n"/>
      <x:c r="K503" s="22" t="n"/>
      <x:c r="L503" s="22" t="n"/>
      <x:c r="M503" s="22" t="n"/>
      <x:c r="N503" s="22" t="n"/>
    </x:row>
  </x:sheetData>
  <x:mergeCells>
    <x:mergeCell ref="A1:H1"/>
  </x:mergeCells>
  <x:pageMargins left="0.7" right="0.7" top="0.75" bottom="0.75" header="0.3" footer="0.3"/>
</x:worksheet>
</file>